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D474BD94-9471-DF49-81E8-A58C53278239}" xr6:coauthVersionLast="36" xr6:coauthVersionMax="36" xr10:uidLastSave="{00000000-0000-0000-0000-000000000000}"/>
  <bookViews>
    <workbookView xWindow="2040" yWindow="500" windowWidth="32020" windowHeight="19880" tabRatio="500" xr2:uid="{00000000-000D-0000-FFFF-FFFF00000000}"/>
  </bookViews>
  <sheets>
    <sheet name="Feuil1" sheetId="1" r:id="rId1"/>
  </sheets>
  <definedNames>
    <definedName name="_xlnm.Print_Area" localSheetId="0">Feuil1!$B$3:$I$160</definedName>
  </definedNames>
  <calcPr calcId="18102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14" i="1" l="1"/>
  <c r="I32" i="1"/>
  <c r="I30" i="1"/>
  <c r="I23" i="1"/>
  <c r="I21" i="1"/>
  <c r="I17" i="1"/>
  <c r="I16" i="1"/>
  <c r="I104" i="1"/>
  <c r="I100" i="1"/>
  <c r="I110" i="1"/>
  <c r="I6" i="1"/>
  <c r="I8" i="1"/>
  <c r="I10" i="1"/>
  <c r="I12" i="1"/>
  <c r="I14" i="1"/>
  <c r="I15" i="1"/>
  <c r="I18" i="1"/>
  <c r="I19" i="1"/>
  <c r="I25" i="1"/>
  <c r="I27" i="1"/>
  <c r="I34" i="1"/>
  <c r="I36" i="1"/>
  <c r="I39" i="1"/>
  <c r="I41" i="1"/>
  <c r="I43" i="1"/>
  <c r="I46" i="1"/>
  <c r="I50" i="1"/>
  <c r="I52" i="1"/>
  <c r="I54" i="1"/>
  <c r="I56" i="1"/>
  <c r="I58" i="1"/>
  <c r="I60" i="1"/>
  <c r="I62" i="1"/>
  <c r="I64" i="1"/>
  <c r="I78" i="1"/>
  <c r="I79" i="1"/>
  <c r="I81" i="1"/>
  <c r="I83" i="1"/>
  <c r="I85" i="1"/>
  <c r="I87" i="1"/>
  <c r="I89" i="1"/>
  <c r="I91" i="1"/>
  <c r="I92" i="1"/>
  <c r="I96" i="1"/>
  <c r="I98" i="1"/>
  <c r="I102" i="1"/>
  <c r="I106" i="1"/>
  <c r="I108" i="1"/>
  <c r="I113" i="1"/>
  <c r="I115" i="1"/>
  <c r="I116" i="1"/>
  <c r="I117" i="1"/>
  <c r="I118" i="1"/>
  <c r="I119" i="1"/>
  <c r="I120" i="1"/>
  <c r="I121" i="1"/>
  <c r="I122" i="1"/>
  <c r="I123" i="1"/>
  <c r="I127" i="1"/>
  <c r="I131" i="1"/>
  <c r="I133" i="1"/>
  <c r="I135" i="1"/>
  <c r="I137" i="1"/>
  <c r="I142" i="1"/>
  <c r="I143" i="1"/>
  <c r="I144" i="1"/>
  <c r="I145" i="1"/>
  <c r="I147" i="1"/>
  <c r="I148" i="1"/>
  <c r="I149" i="1"/>
  <c r="I150" i="1"/>
  <c r="I151" i="1"/>
  <c r="I152" i="1"/>
  <c r="I153" i="1"/>
  <c r="I154" i="1"/>
  <c r="I155" i="1"/>
  <c r="I157" i="1"/>
</calcChain>
</file>

<file path=xl/sharedStrings.xml><?xml version="1.0" encoding="utf-8"?>
<sst xmlns="http://schemas.openxmlformats.org/spreadsheetml/2006/main" count="260" uniqueCount="187">
  <si>
    <t>Turrón croquant d'Alicante – IGP Alicante</t>
  </si>
  <si>
    <t>Turrón tendre de Jijona – IGP Jijona</t>
  </si>
  <si>
    <t>Vin rouge crianza***</t>
  </si>
  <si>
    <t xml:space="preserve">Vins sous DO* </t>
  </si>
  <si>
    <t>Bodegas Florentino Martínez (DOC** La Rioja – Rioja Alta)</t>
  </si>
  <si>
    <t>Bodegas Luis Ángel Casado (DOC** La Rioja Alavesa)</t>
  </si>
  <si>
    <t>** DOC : denominación de origen calificada (appellation d'origine qualifiée)</t>
  </si>
  <si>
    <t>* DO : denominación de origen (appellation d'origine)</t>
  </si>
  <si>
    <t>E.L. Arróniz</t>
  </si>
  <si>
    <t>Pot verre 215 g, 
205 g égoutté</t>
  </si>
  <si>
    <t>80,00 / kg</t>
    <phoneticPr fontId="1" type="noConversion"/>
  </si>
  <si>
    <t>30,00 / kg</t>
    <phoneticPr fontId="1" type="noConversion"/>
  </si>
  <si>
    <t xml:space="preserve">Bouteille verre 50 cl	</t>
  </si>
  <si>
    <t>Miel de lavande maritime</t>
    <phoneticPr fontId="1" type="noConversion"/>
  </si>
  <si>
    <t>Grosses olives vertes (calibre 60 / 80), variété Gordal (origine : Séville)</t>
  </si>
  <si>
    <t>Alfar</t>
  </si>
  <si>
    <t>Vinaigre balsamique, production de l'année</t>
  </si>
  <si>
    <t>Bouteille verre 25 cl</t>
  </si>
  <si>
    <t>Autres produits d'épicerie fine</t>
  </si>
  <si>
    <t>3 boîtes fer blanc 
(la boîte : 350 g, 150 g égoutté)</t>
  </si>
  <si>
    <t>Miellat de chêne</t>
  </si>
  <si>
    <t>Pollen sec en pelotes</t>
  </si>
  <si>
    <t>Pollen Bio</t>
  </si>
  <si>
    <t>Romarin</t>
  </si>
  <si>
    <t>Conservas Pedro Luis</t>
  </si>
  <si>
    <t>Pedro Luis</t>
  </si>
  <si>
    <t>Vinagrerías Riojanas</t>
  </si>
  <si>
    <t>Vin rosé sec</t>
    <phoneticPr fontId="1" type="noConversion"/>
  </si>
  <si>
    <t>Assemblage : sélection de variétés, Arbequina et Arróniz</t>
    <phoneticPr fontId="1" type="noConversion"/>
  </si>
  <si>
    <t>Chorizo piquant, â base de viande de porc (race Duroc), aucun additif</t>
    <phoneticPr fontId="1" type="noConversion"/>
  </si>
  <si>
    <t>Ismael</t>
    <phoneticPr fontId="1" type="noConversion"/>
  </si>
  <si>
    <t>Ajopel</t>
    <phoneticPr fontId="1" type="noConversion"/>
  </si>
  <si>
    <t>Embutidos Ismael / Ajopel</t>
    <phoneticPr fontId="1" type="noConversion"/>
  </si>
  <si>
    <t>Ail noir</t>
    <phoneticPr fontId="1" type="noConversion"/>
  </si>
  <si>
    <t>Ail noir, en gousses confites</t>
    <phoneticPr fontId="1" type="noConversion"/>
  </si>
  <si>
    <t>Thon blanc en conserve</t>
    <phoneticPr fontId="1" type="noConversion"/>
  </si>
  <si>
    <t>Vinaigre de Xérès, vieilli en barrique de chêne</t>
  </si>
  <si>
    <t>Boitier 60 g</t>
    <phoneticPr fontId="1" type="noConversion"/>
  </si>
  <si>
    <t>Chorizo piquant</t>
    <phoneticPr fontId="1" type="noConversion"/>
  </si>
  <si>
    <t>Garnacha tinta 100%</t>
  </si>
  <si>
    <t>La Puerta del Viento</t>
  </si>
  <si>
    <t>Vin rouge Bio et naturel</t>
  </si>
  <si>
    <t>Mencía 100%</t>
  </si>
  <si>
    <t>Mencía 100% – Vignes centenaires</t>
  </si>
  <si>
    <t>Godello 100%</t>
  </si>
  <si>
    <t>Manuel Guillén</t>
  </si>
  <si>
    <t>Lomo qualité bellota, boyau naturel</t>
  </si>
  <si>
    <t>Chorizo qualité bellota, boyau naturel</t>
  </si>
  <si>
    <t>Pot verre 1 kg</t>
    <phoneticPr fontId="1" type="noConversion"/>
  </si>
  <si>
    <t>Pot verre 300 g</t>
    <phoneticPr fontId="1" type="noConversion"/>
  </si>
  <si>
    <t>Bocal verre 250 g, 
150 g égoutté</t>
    <phoneticPr fontId="1" type="noConversion"/>
  </si>
  <si>
    <t>Bocal verre 350 g, 
230 g égoutté</t>
    <phoneticPr fontId="1" type="noConversion"/>
  </si>
  <si>
    <t>Miettes de thon blanc à la ratatouille</t>
    <phoneticPr fontId="1" type="noConversion"/>
  </si>
  <si>
    <t>Bocal verre 350 g</t>
    <phoneticPr fontId="1" type="noConversion"/>
  </si>
  <si>
    <t>Reietó</t>
    <phoneticPr fontId="1" type="noConversion"/>
  </si>
  <si>
    <t>Pablo Garrigós Ibáñez</t>
    <phoneticPr fontId="1" type="noConversion"/>
  </si>
  <si>
    <t>Assemblage Viura 
et Garnacha</t>
  </si>
  <si>
    <t>Bodegas Vallobera 
(DOC** La Rioja Alavesa)</t>
  </si>
  <si>
    <t>Bodegas César Príncipe 
(DO Cigales)</t>
  </si>
  <si>
    <t>Vin blanc sec 
(vieilles vignes)</t>
  </si>
  <si>
    <t>Assemblage Viura 80% 
et Malvasia 20%</t>
  </si>
  <si>
    <t>Miel de prairie</t>
  </si>
  <si>
    <t>Miel multifloral Bio (Andalousie)</t>
  </si>
  <si>
    <t>Pablo Garrigós Ibáñez</t>
  </si>
  <si>
    <t xml:space="preserve">Turrón </t>
  </si>
  <si>
    <t>Étui carton 150 g</t>
  </si>
  <si>
    <t>Miel monofloral Bio (Andalousie)</t>
  </si>
  <si>
    <t>Antonio Calvo</t>
  </si>
  <si>
    <t>Urbano González</t>
  </si>
  <si>
    <t>Urzapa</t>
  </si>
  <si>
    <t>Miel monofloral Bio (Castille et León)</t>
  </si>
  <si>
    <t>Lavande</t>
  </si>
  <si>
    <t>Ronce</t>
  </si>
  <si>
    <t>Eucalyptus</t>
  </si>
  <si>
    <t>Pot verre 225 g</t>
  </si>
  <si>
    <t>Flacon verre, spray 30 ml</t>
  </si>
  <si>
    <t>Poivrons Piquillo en conserve</t>
  </si>
  <si>
    <t>Poivrons variété Piquillo, doux, en lanières, DOC* Lodosa (Navarre)</t>
  </si>
  <si>
    <t>Clarete</t>
  </si>
  <si>
    <t>Arbequina Bio</t>
  </si>
  <si>
    <t>Btle verre 50 cl</t>
  </si>
  <si>
    <t>6 btles verre x 50 cl</t>
  </si>
  <si>
    <t>Miel 88%, pollen 10%, gelée royale 2%</t>
    <phoneticPr fontId="1" type="noConversion"/>
  </si>
  <si>
    <t>Sachet individuel 250 g</t>
    <phoneticPr fontId="1" type="noConversion"/>
  </si>
  <si>
    <t>Sauce tomate frite Bio, sans sucre ajouté</t>
    <phoneticPr fontId="1" type="noConversion"/>
  </si>
  <si>
    <t>Crème / soupe de petits pois Bio</t>
    <phoneticPr fontId="1" type="noConversion"/>
  </si>
  <si>
    <t>Crème / soupe de légumes secs Bio</t>
    <phoneticPr fontId="1" type="noConversion"/>
  </si>
  <si>
    <t>Petits pois 48%, oignon 8%, huile d'olive extra vierge 2%,…</t>
    <phoneticPr fontId="1" type="noConversion"/>
  </si>
  <si>
    <t>Bocal verre 485 g</t>
    <phoneticPr fontId="1" type="noConversion"/>
  </si>
  <si>
    <t>Pois chiches, oignon, lentilles, carotte, huile d'olive extra vierge,…</t>
    <phoneticPr fontId="1" type="noConversion"/>
  </si>
  <si>
    <t>Huile d'olive extra vierge, extraction à froid</t>
    <phoneticPr fontId="1" type="noConversion"/>
  </si>
  <si>
    <t>E.L. Arbosana</t>
    <phoneticPr fontId="1" type="noConversion"/>
  </si>
  <si>
    <t>Arbosana (variété de Tarragone)</t>
    <phoneticPr fontId="1" type="noConversion"/>
  </si>
  <si>
    <t>Charlatán</t>
  </si>
  <si>
    <t>Total</t>
    <phoneticPr fontId="1" type="noConversion"/>
  </si>
  <si>
    <t>Pacheco Trueba y Pla</t>
    <phoneticPr fontId="1" type="noConversion"/>
  </si>
  <si>
    <t>Nuevo Libe</t>
    <phoneticPr fontId="1" type="noConversion"/>
  </si>
  <si>
    <t>Arbequina</t>
  </si>
  <si>
    <t>Bidon fer blanc 1 litre</t>
  </si>
  <si>
    <t>Bidon fer blanc 5 litres</t>
  </si>
  <si>
    <t>Agrícola La Maja</t>
  </si>
  <si>
    <t>Verdemiel</t>
  </si>
  <si>
    <t>Fleur d'oranger</t>
  </si>
  <si>
    <t>Pot verre 800 g</t>
  </si>
  <si>
    <t>Pot verre 1 kg</t>
  </si>
  <si>
    <t>Huiles d'olive</t>
  </si>
  <si>
    <t>La Maja</t>
  </si>
  <si>
    <t>Thon blanc</t>
  </si>
  <si>
    <t>6 btles verre x 75 cl</t>
  </si>
  <si>
    <t>Caractéristiques</t>
  </si>
  <si>
    <t>Fournisseurs</t>
  </si>
  <si>
    <t>Marques</t>
  </si>
  <si>
    <t>Composé vitaminé Bio</t>
    <phoneticPr fontId="1" type="noConversion"/>
  </si>
  <si>
    <t>Valvanera Uyarra</t>
    <phoneticPr fontId="1" type="noConversion"/>
  </si>
  <si>
    <t>Uyarra</t>
    <phoneticPr fontId="1" type="noConversion"/>
  </si>
  <si>
    <t>Miel de bruyère et de fleurs de haute montagne</t>
    <phoneticPr fontId="1" type="noConversion"/>
  </si>
  <si>
    <t>Teinture de propolis 30%, miel, extrait de mauve, extraits de propolis, de sureau, essences de thym et d'eucalyptus,… Alcool 23%</t>
    <phoneticPr fontId="1" type="noConversion"/>
  </si>
  <si>
    <t>Miel de La Rioja (Mont San Lorenzo)</t>
    <phoneticPr fontId="1" type="noConversion"/>
  </si>
  <si>
    <t>Pot verre 500 g</t>
    <phoneticPr fontId="1" type="noConversion"/>
  </si>
  <si>
    <t>Salaisons de porc ibérique bellota</t>
  </si>
  <si>
    <t>Pièce entière sous vide</t>
    <phoneticPr fontId="1" type="noConversion"/>
  </si>
  <si>
    <t xml:space="preserve">***crianza : se dit d’un vin qui a été élevé au moins 6 mois en barrique de chêne et dont le vieillissement total [barrique de chêne + bouteille] </t>
  </si>
  <si>
    <t>Arróniz 
(variété locale, ancienne)</t>
  </si>
  <si>
    <t>Spray buccal 
de propolis Bio</t>
  </si>
  <si>
    <t>Maturana</t>
    <phoneticPr fontId="1" type="noConversion"/>
  </si>
  <si>
    <t>Vin rouge</t>
    <phoneticPr fontId="1" type="noConversion"/>
  </si>
  <si>
    <t>Maturana 100%</t>
    <phoneticPr fontId="1" type="noConversion"/>
  </si>
  <si>
    <t>El Marido de mi Amiga</t>
    <phoneticPr fontId="1" type="noConversion"/>
  </si>
  <si>
    <t xml:space="preserve">13 Cántaros Nicolás </t>
    <phoneticPr fontId="1" type="noConversion"/>
  </si>
  <si>
    <t>Tempranillo 100%</t>
    <phoneticPr fontId="1" type="noConversion"/>
  </si>
  <si>
    <t>Btle verre 75 cl</t>
    <phoneticPr fontId="1" type="noConversion"/>
  </si>
  <si>
    <t>Produits de la ruche</t>
  </si>
  <si>
    <t>Vinagre de Jerez – Alma de Jerez</t>
  </si>
  <si>
    <t>Miettes de thon blanc à l'huile de tournesol</t>
  </si>
  <si>
    <t>Assemblage Sauvignon blanc, Tempranillo blanc 
et Malvasia</t>
  </si>
  <si>
    <t>Vin blanc sec Bio 
et naturel</t>
  </si>
  <si>
    <t>Assemblage de 7 cépages</t>
  </si>
  <si>
    <t>Vin rosé sec fruité Bio 
et naturel</t>
  </si>
  <si>
    <t>Jorge Vega García 
(DO El Bierzo)</t>
  </si>
  <si>
    <t>6 mois de séchage, 
air naturel</t>
  </si>
  <si>
    <t>4 mois de séchage, 
air naturel</t>
  </si>
  <si>
    <t>Bouteille verre et coffret, 
50 cl, sérigraphiée, 
DO* Navarre</t>
  </si>
  <si>
    <t>E.L. Arbequina Eco/Bio</t>
  </si>
  <si>
    <t>Myrtilles 70%, 
sirop d'agave 30%</t>
  </si>
  <si>
    <t>nous</t>
  </si>
  <si>
    <t>contacter</t>
  </si>
  <si>
    <t>Produits</t>
  </si>
  <si>
    <t>Contenants</t>
  </si>
  <si>
    <t>Nombres</t>
  </si>
  <si>
    <t>Montants (€)</t>
  </si>
  <si>
    <t>Btle verre 75 cl</t>
  </si>
  <si>
    <t>Conserve de longe de thon blanc à l'huile d'olive</t>
  </si>
  <si>
    <t>Bouteille verre 75 cl</t>
  </si>
  <si>
    <t>Bouteille verre 50 cl</t>
  </si>
  <si>
    <t>Prix TTC (€)</t>
  </si>
  <si>
    <t>(l'unité)</t>
  </si>
  <si>
    <t>Florentius</t>
  </si>
  <si>
    <t>Distercio</t>
  </si>
  <si>
    <t>Tempranillo 100%</t>
  </si>
  <si>
    <t>Jilabá</t>
  </si>
  <si>
    <t>Bidon fer blanc 2 litres</t>
  </si>
  <si>
    <t>Pot verre 500 g</t>
  </si>
  <si>
    <t>Euroliv 2000</t>
  </si>
  <si>
    <t>Olives vertes dénoyautées en conserve au piment piquant</t>
  </si>
  <si>
    <t>Saucisson qualité bellota, boyau naturel</t>
  </si>
  <si>
    <t>Thym</t>
  </si>
  <si>
    <t>Poivrons doux en conserve</t>
  </si>
  <si>
    <t>Sur de España</t>
  </si>
  <si>
    <t>Vinaigre de cidre / pomme</t>
  </si>
  <si>
    <t>Vinaigre de moût de raisin (acidité 6%)</t>
  </si>
  <si>
    <t>Vinaigre de vin, DOC Xérès (Andalousie) (acidité 7%)</t>
  </si>
  <si>
    <t>Vinaigre de cidre / pomme (acidité 5%)</t>
  </si>
  <si>
    <t>Confiture de myrtilles Bio au sirop d'agave</t>
  </si>
  <si>
    <t>Pot verre 215 g</t>
  </si>
  <si>
    <t>Tomate, oignon, ail, poireau, huile d'olive,…</t>
  </si>
  <si>
    <t>Pot verre 340 g</t>
  </si>
  <si>
    <t>Conserve de longe de thon blanc au naturel</t>
  </si>
  <si>
    <t>Chorizo très piquant</t>
  </si>
  <si>
    <t>Pot verre 375 g</t>
  </si>
  <si>
    <r>
      <t>NB</t>
    </r>
    <r>
      <rPr>
        <i/>
        <sz val="9"/>
        <rFont val="Arial"/>
        <family val="2"/>
      </rPr>
      <t xml:space="preserve"> : cellules grisées : article non disponible</t>
    </r>
  </si>
  <si>
    <t>TARIF DÉLICES D'ESPAGNE AU 01-01-2026</t>
  </si>
  <si>
    <t>Vin rouge reserva***</t>
  </si>
  <si>
    <t>Vente Conmigo</t>
  </si>
  <si>
    <t>Assemblage Sauvignon blanc, Tempranillo et Macabeu</t>
  </si>
  <si>
    <t>Vin rosé demi-doux (9º al.)</t>
  </si>
  <si>
    <t>Vin blanc demi-doux (10,5º al.)</t>
  </si>
  <si>
    <t>est d’une durée d’au moins deux ans. Reserva : au moins 12 mois en barrique de chêne et vieillissement total d'au moins trois 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</si>
</sst>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Verdana"/>
    </font>
    <font>
      <sz val="8"/>
      <name val="Verdana"/>
      <family val="2"/>
    </font>
    <font>
      <sz val="9"/>
      <name val="Arial"/>
      <family val="2"/>
    </font>
    <font>
      <i/>
      <sz val="9"/>
      <name val="Arial"/>
      <family val="2"/>
    </font>
    <font>
      <u/>
      <sz val="10"/>
      <color indexed="12"/>
      <name val="Verdana"/>
      <family val="2"/>
    </font>
    <font>
      <u/>
      <sz val="10"/>
      <color indexed="20"/>
      <name val="Verdana"/>
      <family val="2"/>
    </font>
    <font>
      <sz val="9"/>
      <name val="Arial"/>
      <family val="2"/>
    </font>
    <font>
      <sz val="8.5"/>
      <name val="Arial"/>
      <family val="2"/>
    </font>
    <font>
      <sz val="9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12"/>
      <color indexed="8"/>
      <name val="Helvetica"/>
      <family val="2"/>
    </font>
    <font>
      <b/>
      <sz val="12"/>
      <color indexed="12"/>
      <name val="Arial"/>
      <family val="2"/>
    </font>
    <font>
      <sz val="12"/>
      <color indexed="12"/>
      <name val="Verdana"/>
      <family val="2"/>
    </font>
    <font>
      <b/>
      <sz val="9"/>
      <color indexed="12"/>
      <name val="Arial"/>
      <family val="2"/>
    </font>
    <font>
      <b/>
      <sz val="7"/>
      <color indexed="12"/>
      <name val="Arial"/>
      <family val="2"/>
    </font>
    <font>
      <sz val="9"/>
      <color indexed="12"/>
      <name val="Arial"/>
      <family val="2"/>
    </font>
    <font>
      <sz val="8"/>
      <color indexed="12"/>
      <name val="Arial"/>
      <family val="2"/>
    </font>
    <font>
      <sz val="8.5"/>
      <color indexed="12"/>
      <name val="Arial"/>
      <family val="2"/>
    </font>
    <font>
      <i/>
      <sz val="9"/>
      <color indexed="12"/>
      <name val="Arial"/>
      <family val="2"/>
    </font>
    <font>
      <b/>
      <sz val="10"/>
      <color indexed="12"/>
      <name val="Arial"/>
      <family val="2"/>
    </font>
    <font>
      <b/>
      <i/>
      <u/>
      <sz val="9"/>
      <name val="Arial"/>
      <family val="2"/>
    </font>
    <font>
      <sz val="9"/>
      <name val="Verdana"/>
      <family val="2"/>
    </font>
    <font>
      <u/>
      <sz val="10"/>
      <color theme="10"/>
      <name val="Verdana"/>
      <family val="2"/>
    </font>
    <font>
      <u/>
      <sz val="10"/>
      <color theme="11"/>
      <name val="Verdana"/>
      <family val="2"/>
    </font>
    <font>
      <b/>
      <sz val="9"/>
      <color theme="4"/>
      <name val="Arial"/>
      <family val="2"/>
    </font>
    <font>
      <sz val="9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A3BED5"/>
        <bgColor indexed="64"/>
      </patternFill>
    </fill>
    <fill>
      <patternFill patternType="solid">
        <fgColor indexed="65"/>
        <bgColor theme="1"/>
      </patternFill>
    </fill>
    <fill>
      <patternFill patternType="solid">
        <fgColor rgb="FFA3BED5"/>
        <bgColor theme="1"/>
      </patternFill>
    </fill>
    <fill>
      <patternFill patternType="solid">
        <fgColor indexed="41"/>
        <bgColor indexed="64"/>
      </patternFill>
    </fill>
    <fill>
      <patternFill patternType="solid">
        <fgColor indexed="41"/>
        <bgColor indexed="8"/>
      </patternFill>
    </fill>
    <fill>
      <patternFill patternType="solid">
        <fgColor indexed="65"/>
        <bgColor indexed="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theme="1"/>
      </patternFill>
    </fill>
    <fill>
      <patternFill patternType="solid">
        <fgColor theme="0" tint="-0.249977111117893"/>
        <bgColor indexed="8"/>
      </patternFill>
    </fill>
  </fills>
  <borders count="4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1"/>
      </bottom>
      <diagonal/>
    </border>
    <border>
      <left style="thin">
        <color auto="1"/>
      </left>
      <right style="medium">
        <color auto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/>
      <diagonal/>
    </border>
    <border>
      <left style="thin">
        <color auto="1"/>
      </left>
      <right style="medium">
        <color auto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/>
      <bottom style="thin">
        <color rgb="FF96B0C5"/>
      </bottom>
      <diagonal/>
    </border>
  </borders>
  <cellStyleXfs count="1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2" fontId="2" fillId="0" borderId="4">
      <alignment horizontal="right" vertical="center"/>
    </xf>
    <xf numFmtId="2" fontId="2" fillId="0" borderId="4">
      <alignment horizontal="left" vertical="center" wrapText="1"/>
    </xf>
    <xf numFmtId="2" fontId="2" fillId="0" borderId="17">
      <alignment horizontal="right" vertical="center"/>
    </xf>
    <xf numFmtId="2" fontId="2" fillId="0" borderId="3">
      <alignment horizontal="right" vertical="center" wrapText="1"/>
    </xf>
    <xf numFmtId="2" fontId="2" fillId="0" borderId="12">
      <alignment horizontal="right" vertical="center"/>
    </xf>
    <xf numFmtId="0" fontId="2" fillId="2" borderId="1" applyBorder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317">
    <xf numFmtId="0" fontId="0" fillId="0" borderId="0" xfId="0"/>
    <xf numFmtId="0" fontId="16" fillId="5" borderId="12" xfId="0" applyFont="1" applyFill="1" applyBorder="1" applyAlignment="1">
      <alignment vertical="center"/>
    </xf>
    <xf numFmtId="1" fontId="16" fillId="6" borderId="3" xfId="0" applyNumberFormat="1" applyFont="1" applyFill="1" applyBorder="1" applyAlignment="1" applyProtection="1">
      <alignment horizontal="center" vertical="center"/>
      <protection locked="0"/>
    </xf>
    <xf numFmtId="0" fontId="16" fillId="5" borderId="1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vertical="center"/>
    </xf>
    <xf numFmtId="0" fontId="16" fillId="5" borderId="11" xfId="0" applyFont="1" applyFill="1" applyBorder="1" applyAlignment="1">
      <alignment vertical="center"/>
    </xf>
    <xf numFmtId="0" fontId="17" fillId="5" borderId="1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vertical="center"/>
    </xf>
    <xf numFmtId="0" fontId="16" fillId="5" borderId="1" xfId="0" applyFont="1" applyFill="1" applyBorder="1" applyAlignment="1">
      <alignment vertical="center"/>
    </xf>
    <xf numFmtId="0" fontId="14" fillId="5" borderId="19" xfId="0" applyFont="1" applyFill="1" applyBorder="1" applyAlignment="1">
      <alignment vertical="center"/>
    </xf>
    <xf numFmtId="0" fontId="15" fillId="5" borderId="9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6" fillId="2" borderId="3" xfId="0" applyFont="1" applyFill="1" applyBorder="1"/>
    <xf numFmtId="0" fontId="6" fillId="2" borderId="1" xfId="0" applyFont="1" applyFill="1" applyBorder="1"/>
    <xf numFmtId="0" fontId="6" fillId="2" borderId="11" xfId="0" applyFont="1" applyFill="1" applyBorder="1"/>
    <xf numFmtId="0" fontId="7" fillId="2" borderId="3" xfId="0" applyFont="1" applyFill="1" applyBorder="1"/>
    <xf numFmtId="0" fontId="6" fillId="2" borderId="12" xfId="0" applyFont="1" applyFill="1" applyBorder="1"/>
    <xf numFmtId="0" fontId="6" fillId="2" borderId="14" xfId="0" applyFont="1" applyFill="1" applyBorder="1"/>
    <xf numFmtId="0" fontId="6" fillId="2" borderId="15" xfId="0" applyFont="1" applyFill="1" applyBorder="1"/>
    <xf numFmtId="0" fontId="6" fillId="2" borderId="8" xfId="0" applyFont="1" applyFill="1" applyBorder="1"/>
    <xf numFmtId="0" fontId="2" fillId="0" borderId="11" xfId="0" applyFont="1" applyBorder="1" applyAlignment="1">
      <alignment vertical="center"/>
    </xf>
    <xf numFmtId="0" fontId="2" fillId="0" borderId="11" xfId="0" applyFont="1" applyBorder="1"/>
    <xf numFmtId="0" fontId="3" fillId="0" borderId="0" xfId="0" applyFont="1" applyAlignment="1">
      <alignment vertical="top"/>
    </xf>
    <xf numFmtId="2" fontId="6" fillId="2" borderId="3" xfId="0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2" fillId="2" borderId="19" xfId="8" applyBorder="1"/>
    <xf numFmtId="0" fontId="7" fillId="2" borderId="3" xfId="0" applyFont="1" applyFill="1" applyBorder="1" applyAlignment="1">
      <alignment horizontal="center"/>
    </xf>
    <xf numFmtId="0" fontId="2" fillId="0" borderId="22" xfId="0" applyFont="1" applyBorder="1" applyAlignment="1">
      <alignment vertical="center" wrapText="1"/>
    </xf>
    <xf numFmtId="0" fontId="2" fillId="0" borderId="23" xfId="0" applyFont="1" applyBorder="1" applyAlignment="1">
      <alignment horizontal="left" vertical="center" wrapText="1"/>
    </xf>
    <xf numFmtId="0" fontId="6" fillId="2" borderId="19" xfId="0" applyFont="1" applyFill="1" applyBorder="1"/>
    <xf numFmtId="2" fontId="2" fillId="0" borderId="25" xfId="3" applyBorder="1" applyAlignment="1">
      <alignment horizontal="left" vertical="center" wrapText="1"/>
    </xf>
    <xf numFmtId="0" fontId="6" fillId="2" borderId="26" xfId="0" applyFont="1" applyFill="1" applyBorder="1"/>
    <xf numFmtId="0" fontId="6" fillId="0" borderId="0" xfId="0" applyFont="1"/>
    <xf numFmtId="2" fontId="2" fillId="0" borderId="22" xfId="7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2" fillId="0" borderId="35" xfId="0" applyFont="1" applyBorder="1" applyAlignment="1">
      <alignment horizontal="left" vertical="center" wrapText="1"/>
    </xf>
    <xf numFmtId="0" fontId="10" fillId="0" borderId="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1" fillId="0" borderId="0" xfId="0" applyFont="1"/>
    <xf numFmtId="2" fontId="2" fillId="0" borderId="21" xfId="0" applyNumberFormat="1" applyFont="1" applyBorder="1" applyAlignment="1">
      <alignment horizontal="center" vertical="center"/>
    </xf>
    <xf numFmtId="0" fontId="6" fillId="2" borderId="39" xfId="0" applyFont="1" applyFill="1" applyBorder="1"/>
    <xf numFmtId="0" fontId="6" fillId="2" borderId="18" xfId="0" applyFont="1" applyFill="1" applyBorder="1" applyProtection="1">
      <protection locked="0"/>
    </xf>
    <xf numFmtId="0" fontId="2" fillId="0" borderId="0" xfId="0" applyFont="1" applyAlignment="1">
      <alignment horizontal="center"/>
    </xf>
    <xf numFmtId="2" fontId="2" fillId="0" borderId="22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2" fontId="2" fillId="0" borderId="35" xfId="0" applyNumberFormat="1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3" xfId="0" applyNumberFormat="1" applyFont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/>
    </xf>
    <xf numFmtId="2" fontId="2" fillId="0" borderId="36" xfId="0" applyNumberFormat="1" applyFont="1" applyBorder="1" applyAlignment="1">
      <alignment horizontal="center" vertical="center"/>
    </xf>
    <xf numFmtId="2" fontId="2" fillId="0" borderId="24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 vertical="center" wrapText="1"/>
    </xf>
    <xf numFmtId="0" fontId="6" fillId="2" borderId="39" xfId="0" applyFont="1" applyFill="1" applyBorder="1" applyProtection="1">
      <protection locked="0"/>
    </xf>
    <xf numFmtId="1" fontId="6" fillId="4" borderId="3" xfId="0" applyNumberFormat="1" applyFont="1" applyFill="1" applyBorder="1" applyAlignment="1" applyProtection="1">
      <alignment horizontal="center" vertical="center"/>
      <protection locked="0"/>
    </xf>
    <xf numFmtId="1" fontId="2" fillId="3" borderId="35" xfId="0" applyNumberFormat="1" applyFont="1" applyFill="1" applyBorder="1" applyAlignment="1" applyProtection="1">
      <alignment horizontal="center" vertical="center"/>
      <protection locked="0"/>
    </xf>
    <xf numFmtId="1" fontId="2" fillId="3" borderId="23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22" xfId="0" applyNumberFormat="1" applyFont="1" applyFill="1" applyBorder="1" applyAlignment="1" applyProtection="1">
      <alignment horizontal="center" vertical="center"/>
      <protection locked="0"/>
    </xf>
    <xf numFmtId="1" fontId="2" fillId="3" borderId="22" xfId="0" applyNumberFormat="1" applyFont="1" applyFill="1" applyBorder="1" applyAlignment="1" applyProtection="1">
      <alignment horizontal="center" vertical="center" wrapText="1"/>
      <protection locked="0"/>
    </xf>
    <xf numFmtId="2" fontId="2" fillId="0" borderId="12" xfId="0" applyNumberFormat="1" applyFont="1" applyBorder="1" applyAlignment="1">
      <alignment horizontal="center" vertical="center"/>
    </xf>
    <xf numFmtId="1" fontId="2" fillId="3" borderId="3" xfId="0" applyNumberFormat="1" applyFont="1" applyFill="1" applyBorder="1" applyAlignment="1" applyProtection="1">
      <alignment horizontal="center" vertical="center"/>
      <protection locked="0"/>
    </xf>
    <xf numFmtId="2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2" fontId="16" fillId="5" borderId="1" xfId="0" applyNumberFormat="1" applyFont="1" applyFill="1" applyBorder="1" applyAlignment="1">
      <alignment horizontal="center" vertical="center"/>
    </xf>
    <xf numFmtId="0" fontId="2" fillId="0" borderId="0" xfId="0" applyFont="1" applyBorder="1"/>
    <xf numFmtId="1" fontId="2" fillId="7" borderId="4" xfId="4" applyNumberFormat="1" applyFill="1" applyBorder="1" applyAlignment="1" applyProtection="1">
      <alignment horizontal="center" vertical="center" wrapText="1"/>
      <protection locked="0"/>
    </xf>
    <xf numFmtId="2" fontId="2" fillId="0" borderId="17" xfId="5" applyBorder="1" applyAlignment="1">
      <alignment horizontal="center" vertical="center" wrapText="1"/>
    </xf>
    <xf numFmtId="0" fontId="21" fillId="0" borderId="0" xfId="0" applyFont="1"/>
    <xf numFmtId="0" fontId="22" fillId="0" borderId="3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2" fontId="2" fillId="0" borderId="17" xfId="0" applyNumberFormat="1" applyFont="1" applyBorder="1" applyAlignment="1">
      <alignment horizontal="center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vertical="center"/>
    </xf>
    <xf numFmtId="2" fontId="2" fillId="0" borderId="2" xfId="0" applyNumberFormat="1" applyFont="1" applyFill="1" applyBorder="1" applyAlignment="1">
      <alignment horizontal="center" vertical="center"/>
    </xf>
    <xf numFmtId="1" fontId="2" fillId="0" borderId="4" xfId="0" applyNumberFormat="1" applyFont="1" applyFill="1" applyBorder="1" applyAlignment="1" applyProtection="1">
      <alignment horizontal="center" vertical="center"/>
      <protection locked="0"/>
    </xf>
    <xf numFmtId="2" fontId="2" fillId="0" borderId="17" xfId="0" applyNumberFormat="1" applyFont="1" applyFill="1" applyBorder="1" applyAlignment="1">
      <alignment horizontal="center" vertical="center"/>
    </xf>
    <xf numFmtId="2" fontId="2" fillId="0" borderId="13" xfId="0" applyNumberFormat="1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 wrapText="1"/>
    </xf>
    <xf numFmtId="0" fontId="2" fillId="0" borderId="22" xfId="0" applyFont="1" applyFill="1" applyBorder="1" applyAlignment="1">
      <alignment horizontal="left" vertical="center" wrapText="1"/>
    </xf>
    <xf numFmtId="0" fontId="2" fillId="0" borderId="23" xfId="0" applyFont="1" applyFill="1" applyBorder="1" applyAlignment="1">
      <alignment horizontal="left" vertical="center" wrapText="1"/>
    </xf>
    <xf numFmtId="2" fontId="2" fillId="0" borderId="23" xfId="0" applyNumberFormat="1" applyFont="1" applyFill="1" applyBorder="1" applyAlignment="1">
      <alignment horizontal="center" vertical="center" wrapText="1"/>
    </xf>
    <xf numFmtId="1" fontId="2" fillId="0" borderId="22" xfId="0" applyNumberFormat="1" applyFont="1" applyFill="1" applyBorder="1" applyAlignment="1" applyProtection="1">
      <alignment horizontal="center" vertical="center" wrapText="1"/>
      <protection locked="0"/>
    </xf>
    <xf numFmtId="2" fontId="2" fillId="0" borderId="21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2" fontId="2" fillId="0" borderId="2" xfId="0" applyNumberFormat="1" applyFont="1" applyFill="1" applyBorder="1" applyAlignment="1">
      <alignment horizontal="center" vertical="center" wrapText="1"/>
    </xf>
    <xf numFmtId="1" fontId="2" fillId="0" borderId="4" xfId="0" applyNumberFormat="1" applyFont="1" applyFill="1" applyBorder="1" applyAlignment="1" applyProtection="1">
      <alignment horizontal="center" vertical="center" wrapText="1"/>
      <protection locked="0"/>
    </xf>
    <xf numFmtId="2" fontId="2" fillId="0" borderId="17" xfId="0" applyNumberFormat="1" applyFont="1" applyFill="1" applyBorder="1" applyAlignment="1">
      <alignment horizontal="center" vertical="center" wrapText="1"/>
    </xf>
    <xf numFmtId="0" fontId="2" fillId="8" borderId="22" xfId="0" applyFont="1" applyFill="1" applyBorder="1" applyAlignment="1">
      <alignment horizontal="left" vertical="center" wrapText="1"/>
    </xf>
    <xf numFmtId="0" fontId="2" fillId="8" borderId="23" xfId="0" applyFont="1" applyFill="1" applyBorder="1" applyAlignment="1">
      <alignment horizontal="left" vertical="center" wrapText="1"/>
    </xf>
    <xf numFmtId="2" fontId="2" fillId="8" borderId="23" xfId="0" applyNumberFormat="1" applyFont="1" applyFill="1" applyBorder="1" applyAlignment="1">
      <alignment horizontal="center" vertical="center" wrapText="1"/>
    </xf>
    <xf numFmtId="1" fontId="2" fillId="9" borderId="22" xfId="0" applyNumberFormat="1" applyFont="1" applyFill="1" applyBorder="1" applyAlignment="1" applyProtection="1">
      <alignment horizontal="center" vertical="center" wrapText="1"/>
      <protection locked="0"/>
    </xf>
    <xf numFmtId="2" fontId="2" fillId="8" borderId="17" xfId="0" applyNumberFormat="1" applyFont="1" applyFill="1" applyBorder="1" applyAlignment="1">
      <alignment horizontal="center" vertical="center" wrapText="1"/>
    </xf>
    <xf numFmtId="0" fontId="2" fillId="8" borderId="22" xfId="0" applyFont="1" applyFill="1" applyBorder="1" applyAlignment="1">
      <alignment horizontal="left" vertical="center"/>
    </xf>
    <xf numFmtId="2" fontId="2" fillId="8" borderId="6" xfId="0" applyNumberFormat="1" applyFont="1" applyFill="1" applyBorder="1" applyAlignment="1">
      <alignment horizontal="center" vertical="center"/>
    </xf>
    <xf numFmtId="1" fontId="2" fillId="9" borderId="5" xfId="0" applyNumberFormat="1" applyFont="1" applyFill="1" applyBorder="1" applyAlignment="1" applyProtection="1">
      <alignment horizontal="center" vertical="center"/>
      <protection locked="0"/>
    </xf>
    <xf numFmtId="2" fontId="2" fillId="8" borderId="13" xfId="0" applyNumberFormat="1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left" vertical="center"/>
    </xf>
    <xf numFmtId="2" fontId="2" fillId="0" borderId="6" xfId="0" applyNumberFormat="1" applyFont="1" applyFill="1" applyBorder="1" applyAlignment="1">
      <alignment horizontal="center" vertical="center"/>
    </xf>
    <xf numFmtId="1" fontId="2" fillId="0" borderId="22" xfId="0" applyNumberFormat="1" applyFont="1" applyFill="1" applyBorder="1" applyAlignment="1" applyProtection="1">
      <alignment horizontal="center" vertical="center"/>
      <protection locked="0"/>
    </xf>
    <xf numFmtId="2" fontId="2" fillId="0" borderId="2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7" fillId="2" borderId="4" xfId="0" applyFont="1" applyFill="1" applyBorder="1"/>
    <xf numFmtId="0" fontId="2" fillId="8" borderId="22" xfId="0" applyFont="1" applyFill="1" applyBorder="1" applyAlignment="1">
      <alignment horizontal="left" vertical="center" wrapText="1"/>
    </xf>
    <xf numFmtId="2" fontId="2" fillId="8" borderId="22" xfId="0" applyNumberFormat="1" applyFont="1" applyFill="1" applyBorder="1" applyAlignment="1">
      <alignment horizontal="center" vertical="center"/>
    </xf>
    <xf numFmtId="1" fontId="2" fillId="9" borderId="22" xfId="0" applyNumberFormat="1" applyFont="1" applyFill="1" applyBorder="1" applyAlignment="1" applyProtection="1">
      <alignment horizontal="center" vertical="center"/>
      <protection locked="0"/>
    </xf>
    <xf numFmtId="2" fontId="2" fillId="8" borderId="12" xfId="0" applyNumberFormat="1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/>
    </xf>
    <xf numFmtId="2" fontId="2" fillId="8" borderId="5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left" vertical="center"/>
    </xf>
    <xf numFmtId="2" fontId="2" fillId="8" borderId="4" xfId="0" applyNumberFormat="1" applyFont="1" applyFill="1" applyBorder="1" applyAlignment="1">
      <alignment horizontal="center" vertical="center"/>
    </xf>
    <xf numFmtId="1" fontId="2" fillId="10" borderId="4" xfId="0" applyNumberFormat="1" applyFont="1" applyFill="1" applyBorder="1" applyAlignment="1" applyProtection="1">
      <alignment horizontal="center" vertical="center"/>
      <protection locked="0"/>
    </xf>
    <xf numFmtId="2" fontId="2" fillId="8" borderId="17" xfId="0" applyNumberFormat="1" applyFont="1" applyFill="1" applyBorder="1" applyAlignment="1">
      <alignment horizontal="center" vertical="center"/>
    </xf>
    <xf numFmtId="2" fontId="2" fillId="8" borderId="13" xfId="5" applyFill="1" applyBorder="1" applyAlignment="1">
      <alignment horizontal="center" vertical="center"/>
    </xf>
    <xf numFmtId="0" fontId="2" fillId="8" borderId="6" xfId="0" applyFont="1" applyFill="1" applyBorder="1" applyAlignment="1">
      <alignment vertical="center"/>
    </xf>
    <xf numFmtId="0" fontId="2" fillId="8" borderId="1" xfId="0" applyFont="1" applyFill="1" applyBorder="1" applyAlignment="1">
      <alignment horizontal="left" vertical="center"/>
    </xf>
    <xf numFmtId="0" fontId="2" fillId="8" borderId="4" xfId="0" applyFont="1" applyFill="1" applyBorder="1" applyAlignment="1">
      <alignment vertical="center"/>
    </xf>
    <xf numFmtId="0" fontId="2" fillId="8" borderId="22" xfId="0" applyFont="1" applyFill="1" applyBorder="1" applyAlignment="1">
      <alignment vertical="center"/>
    </xf>
    <xf numFmtId="2" fontId="2" fillId="8" borderId="23" xfId="0" applyNumberFormat="1" applyFont="1" applyFill="1" applyBorder="1" applyAlignment="1">
      <alignment horizontal="center" vertical="center"/>
    </xf>
    <xf numFmtId="2" fontId="2" fillId="8" borderId="21" xfId="0" applyNumberFormat="1" applyFont="1" applyFill="1" applyBorder="1" applyAlignment="1">
      <alignment horizontal="center" vertical="center"/>
    </xf>
    <xf numFmtId="0" fontId="2" fillId="8" borderId="3" xfId="0" applyFont="1" applyFill="1" applyBorder="1" applyAlignment="1">
      <alignment vertical="center" wrapText="1"/>
    </xf>
    <xf numFmtId="2" fontId="2" fillId="8" borderId="1" xfId="0" applyNumberFormat="1" applyFont="1" applyFill="1" applyBorder="1" applyAlignment="1">
      <alignment horizontal="center" vertical="center"/>
    </xf>
    <xf numFmtId="1" fontId="2" fillId="9" borderId="3" xfId="0" applyNumberFormat="1" applyFont="1" applyFill="1" applyBorder="1" applyAlignment="1" applyProtection="1">
      <alignment horizontal="center" vertical="center"/>
      <protection locked="0"/>
    </xf>
    <xf numFmtId="2" fontId="2" fillId="8" borderId="21" xfId="0" applyNumberFormat="1" applyFont="1" applyFill="1" applyBorder="1" applyAlignment="1">
      <alignment horizontal="center" vertical="center" wrapText="1"/>
    </xf>
    <xf numFmtId="2" fontId="2" fillId="8" borderId="13" xfId="0" applyNumberFormat="1" applyFont="1" applyFill="1" applyBorder="1" applyAlignment="1">
      <alignment horizontal="center" vertical="center"/>
    </xf>
    <xf numFmtId="0" fontId="2" fillId="8" borderId="22" xfId="0" applyFont="1" applyFill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 wrapText="1"/>
    </xf>
    <xf numFmtId="0" fontId="26" fillId="0" borderId="19" xfId="0" applyFont="1" applyFill="1" applyBorder="1"/>
    <xf numFmtId="0" fontId="2" fillId="0" borderId="19" xfId="0" applyFont="1" applyFill="1" applyBorder="1" applyAlignment="1">
      <alignment vertical="center" wrapText="1"/>
    </xf>
    <xf numFmtId="0" fontId="26" fillId="0" borderId="0" xfId="0" applyFont="1"/>
    <xf numFmtId="0" fontId="2" fillId="0" borderId="19" xfId="0" applyFont="1" applyBorder="1" applyAlignment="1">
      <alignment vertical="center" wrapText="1"/>
    </xf>
    <xf numFmtId="1" fontId="2" fillId="8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22" xfId="0" applyFont="1" applyFill="1" applyBorder="1" applyAlignment="1">
      <alignment vertical="center" wrapText="1"/>
    </xf>
    <xf numFmtId="2" fontId="2" fillId="0" borderId="22" xfId="7" applyFill="1" applyBorder="1" applyAlignment="1">
      <alignment horizontal="left" vertical="center" wrapText="1"/>
    </xf>
    <xf numFmtId="2" fontId="2" fillId="0" borderId="22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2" fontId="2" fillId="0" borderId="1" xfId="0" applyNumberFormat="1" applyFont="1" applyFill="1" applyBorder="1" applyAlignment="1">
      <alignment horizontal="center" vertical="center" wrapText="1"/>
    </xf>
    <xf numFmtId="2" fontId="2" fillId="0" borderId="12" xfId="0" applyNumberFormat="1" applyFont="1" applyFill="1" applyBorder="1" applyAlignment="1">
      <alignment horizontal="center" vertical="center"/>
    </xf>
    <xf numFmtId="2" fontId="2" fillId="0" borderId="17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2" fontId="2" fillId="0" borderId="5" xfId="0" applyNumberFormat="1" applyFont="1" applyFill="1" applyBorder="1" applyAlignment="1">
      <alignment horizontal="center" vertical="center"/>
    </xf>
    <xf numFmtId="2" fontId="2" fillId="0" borderId="4" xfId="0" applyNumberFormat="1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 applyProtection="1">
      <alignment horizontal="center" vertical="center"/>
      <protection locked="0"/>
    </xf>
    <xf numFmtId="1" fontId="2" fillId="0" borderId="4" xfId="0" applyNumberFormat="1" applyFont="1" applyFill="1" applyBorder="1" applyAlignment="1" applyProtection="1">
      <alignment horizontal="center" vertical="center"/>
      <protection locked="0"/>
    </xf>
    <xf numFmtId="2" fontId="2" fillId="0" borderId="13" xfId="0" applyNumberFormat="1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2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1" fontId="2" fillId="3" borderId="3" xfId="0" applyNumberFormat="1" applyFont="1" applyFill="1" applyBorder="1" applyAlignment="1" applyProtection="1">
      <alignment horizontal="center" vertical="center"/>
      <protection locked="0"/>
    </xf>
    <xf numFmtId="1" fontId="2" fillId="3" borderId="4" xfId="0" applyNumberFormat="1" applyFont="1" applyFill="1" applyBorder="1" applyAlignment="1" applyProtection="1">
      <alignment horizontal="center" vertical="center"/>
      <protection locked="0"/>
    </xf>
    <xf numFmtId="2" fontId="2" fillId="0" borderId="12" xfId="0" applyNumberFormat="1" applyFont="1" applyBorder="1" applyAlignment="1">
      <alignment horizontal="center" vertical="center"/>
    </xf>
    <xf numFmtId="2" fontId="2" fillId="0" borderId="17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2" fontId="2" fillId="0" borderId="5" xfId="0" applyNumberFormat="1" applyFont="1" applyBorder="1" applyAlignment="1">
      <alignment horizontal="center" vertical="center"/>
    </xf>
    <xf numFmtId="1" fontId="2" fillId="3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19" xfId="0" applyFont="1" applyBorder="1" applyAlignment="1">
      <alignment horizontal="left" vertical="center" wrapText="1"/>
    </xf>
    <xf numFmtId="2" fontId="2" fillId="0" borderId="5" xfId="4" applyFill="1" applyBorder="1">
      <alignment horizontal="left" vertical="center" wrapText="1"/>
    </xf>
    <xf numFmtId="2" fontId="2" fillId="0" borderId="4" xfId="4" applyFill="1" applyBorder="1">
      <alignment horizontal="left" vertical="center" wrapText="1"/>
    </xf>
    <xf numFmtId="2" fontId="2" fillId="0" borderId="6" xfId="4" applyFill="1" applyBorder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2" fontId="2" fillId="0" borderId="3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center" wrapText="1"/>
    </xf>
    <xf numFmtId="2" fontId="2" fillId="0" borderId="13" xfId="0" applyNumberFormat="1" applyFont="1" applyBorder="1" applyAlignment="1">
      <alignment horizontal="center" vertical="center"/>
    </xf>
    <xf numFmtId="2" fontId="25" fillId="5" borderId="33" xfId="0" applyNumberFormat="1" applyFont="1" applyFill="1" applyBorder="1" applyAlignment="1">
      <alignment horizontal="center" vertical="center"/>
    </xf>
    <xf numFmtId="0" fontId="25" fillId="5" borderId="16" xfId="0" applyFont="1" applyFill="1" applyBorder="1" applyAlignment="1">
      <alignment horizontal="center" vertical="center"/>
    </xf>
    <xf numFmtId="2" fontId="2" fillId="8" borderId="12" xfId="0" applyNumberFormat="1" applyFont="1" applyFill="1" applyBorder="1" applyAlignment="1">
      <alignment horizontal="center" vertical="center" wrapText="1"/>
    </xf>
    <xf numFmtId="2" fontId="2" fillId="8" borderId="17" xfId="0" applyNumberFormat="1" applyFont="1" applyFill="1" applyBorder="1" applyAlignment="1">
      <alignment horizontal="center" vertical="center"/>
    </xf>
    <xf numFmtId="2" fontId="2" fillId="0" borderId="38" xfId="0" applyNumberFormat="1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 wrapText="1"/>
    </xf>
    <xf numFmtId="1" fontId="2" fillId="0" borderId="5" xfId="0" applyNumberFormat="1" applyFont="1" applyFill="1" applyBorder="1" applyAlignment="1" applyProtection="1">
      <alignment horizontal="center" vertical="center" wrapText="1"/>
      <protection locked="0"/>
    </xf>
    <xf numFmtId="1" fontId="2" fillId="0" borderId="4" xfId="0" applyNumberFormat="1" applyFont="1" applyFill="1" applyBorder="1" applyAlignment="1" applyProtection="1">
      <alignment horizontal="center" vertical="center" wrapText="1"/>
      <protection locked="0"/>
    </xf>
    <xf numFmtId="2" fontId="2" fillId="0" borderId="13" xfId="0" applyNumberFormat="1" applyFont="1" applyFill="1" applyBorder="1" applyAlignment="1">
      <alignment horizontal="center" vertical="center" wrapText="1"/>
    </xf>
    <xf numFmtId="2" fontId="2" fillId="0" borderId="17" xfId="0" applyNumberFormat="1" applyFont="1" applyFill="1" applyBorder="1" applyAlignment="1">
      <alignment horizontal="center" vertical="center" wrapText="1"/>
    </xf>
    <xf numFmtId="2" fontId="2" fillId="8" borderId="13" xfId="6" applyFill="1" applyBorder="1" applyAlignment="1">
      <alignment horizontal="center" vertical="center" wrapText="1"/>
    </xf>
    <xf numFmtId="2" fontId="2" fillId="8" borderId="12" xfId="6" applyFill="1" applyBorder="1" applyAlignment="1">
      <alignment horizontal="center" vertical="center" wrapText="1"/>
    </xf>
    <xf numFmtId="2" fontId="2" fillId="8" borderId="17" xfId="6" applyFill="1" applyBorder="1" applyAlignment="1">
      <alignment horizontal="center" vertical="center" wrapText="1"/>
    </xf>
    <xf numFmtId="1" fontId="19" fillId="3" borderId="3" xfId="0" applyNumberFormat="1" applyFont="1" applyFill="1" applyBorder="1" applyAlignment="1" applyProtection="1">
      <alignment horizontal="center" vertical="center"/>
      <protection locked="0"/>
    </xf>
    <xf numFmtId="1" fontId="19" fillId="3" borderId="4" xfId="0" applyNumberFormat="1" applyFont="1" applyFill="1" applyBorder="1" applyAlignment="1" applyProtection="1">
      <alignment horizontal="center" vertical="center"/>
      <protection locked="0"/>
    </xf>
    <xf numFmtId="1" fontId="2" fillId="3" borderId="37" xfId="0" applyNumberFormat="1" applyFont="1" applyFill="1" applyBorder="1" applyAlignment="1" applyProtection="1">
      <alignment horizontal="center" vertical="center"/>
      <protection locked="0"/>
    </xf>
    <xf numFmtId="1" fontId="2" fillId="10" borderId="3" xfId="0" applyNumberFormat="1" applyFont="1" applyFill="1" applyBorder="1" applyAlignment="1" applyProtection="1">
      <alignment horizontal="center" vertical="center"/>
      <protection locked="0"/>
    </xf>
    <xf numFmtId="1" fontId="2" fillId="10" borderId="4" xfId="0" applyNumberFormat="1" applyFont="1" applyFill="1" applyBorder="1" applyAlignment="1" applyProtection="1">
      <alignment horizontal="center" vertical="center"/>
      <protection locked="0"/>
    </xf>
    <xf numFmtId="1" fontId="2" fillId="10" borderId="5" xfId="0" applyNumberFormat="1" applyFont="1" applyFill="1" applyBorder="1" applyAlignment="1" applyProtection="1">
      <alignment horizontal="center" vertical="center"/>
      <protection locked="0"/>
    </xf>
    <xf numFmtId="1" fontId="2" fillId="8" borderId="5" xfId="0" applyNumberFormat="1" applyFont="1" applyFill="1" applyBorder="1" applyAlignment="1" applyProtection="1">
      <alignment horizontal="center" vertical="center"/>
      <protection locked="0"/>
    </xf>
    <xf numFmtId="1" fontId="2" fillId="8" borderId="4" xfId="0" applyNumberFormat="1" applyFont="1" applyFill="1" applyBorder="1" applyAlignment="1" applyProtection="1">
      <alignment horizontal="center" vertical="center"/>
      <protection locked="0"/>
    </xf>
    <xf numFmtId="1" fontId="2" fillId="0" borderId="3" xfId="0" applyNumberFormat="1" applyFont="1" applyFill="1" applyBorder="1" applyAlignment="1" applyProtection="1">
      <alignment horizontal="center" vertical="center"/>
      <protection locked="0"/>
    </xf>
    <xf numFmtId="0" fontId="10" fillId="0" borderId="5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2" fillId="0" borderId="5" xfId="0" applyFont="1" applyFill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12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0" fillId="0" borderId="19" xfId="0" applyBorder="1" applyAlignment="1">
      <alignment horizontal="left" vertical="center" wrapText="1"/>
    </xf>
    <xf numFmtId="0" fontId="2" fillId="8" borderId="22" xfId="0" applyFont="1" applyFill="1" applyBorder="1" applyAlignment="1">
      <alignment horizontal="left" vertical="center"/>
    </xf>
    <xf numFmtId="0" fontId="2" fillId="8" borderId="5" xfId="0" applyFont="1" applyFill="1" applyBorder="1" applyAlignment="1">
      <alignment horizontal="left" vertical="center"/>
    </xf>
    <xf numFmtId="0" fontId="2" fillId="8" borderId="22" xfId="0" applyFont="1" applyFill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2" fontId="2" fillId="8" borderId="5" xfId="0" applyNumberFormat="1" applyFont="1" applyFill="1" applyBorder="1" applyAlignment="1">
      <alignment horizontal="center" vertical="center"/>
    </xf>
    <xf numFmtId="2" fontId="2" fillId="8" borderId="4" xfId="0" applyNumberFormat="1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left" vertical="center"/>
    </xf>
    <xf numFmtId="0" fontId="2" fillId="8" borderId="4" xfId="0" applyFont="1" applyFill="1" applyBorder="1" applyAlignment="1">
      <alignment horizontal="left" vertical="center"/>
    </xf>
    <xf numFmtId="2" fontId="2" fillId="8" borderId="3" xfId="0" applyNumberFormat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0" fillId="5" borderId="29" xfId="0" applyFont="1" applyFill="1" applyBorder="1" applyAlignment="1">
      <alignment horizontal="center" vertical="center" wrapText="1"/>
    </xf>
    <xf numFmtId="0" fontId="20" fillId="5" borderId="30" xfId="0" applyFont="1" applyFill="1" applyBorder="1" applyAlignment="1">
      <alignment horizontal="center" vertical="center" wrapText="1"/>
    </xf>
    <xf numFmtId="0" fontId="20" fillId="5" borderId="31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27" xfId="0" applyFont="1" applyFill="1" applyBorder="1" applyAlignment="1">
      <alignment horizontal="center" vertical="center" wrapText="1"/>
    </xf>
    <xf numFmtId="0" fontId="20" fillId="5" borderId="28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3" xfId="0" applyFill="1" applyBorder="1" applyAlignment="1">
      <alignment horizontal="left" vertical="center"/>
    </xf>
    <xf numFmtId="0" fontId="0" fillId="0" borderId="3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3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2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2" fontId="2" fillId="0" borderId="1" xfId="4" applyFill="1" applyBorder="1">
      <alignment horizontal="left" vertical="center" wrapText="1"/>
    </xf>
    <xf numFmtId="2" fontId="2" fillId="0" borderId="2" xfId="4" applyFill="1" applyBorder="1">
      <alignment horizontal="left" vertical="center" wrapText="1"/>
    </xf>
    <xf numFmtId="2" fontId="2" fillId="0" borderId="19" xfId="6" applyBorder="1" applyAlignment="1">
      <alignment horizontal="left" vertical="center"/>
    </xf>
    <xf numFmtId="2" fontId="2" fillId="0" borderId="3" xfId="6" applyBorder="1" applyAlignment="1">
      <alignment horizontal="left" vertical="center"/>
    </xf>
    <xf numFmtId="2" fontId="2" fillId="8" borderId="3" xfId="6" applyFill="1" applyBorder="1" applyAlignment="1">
      <alignment horizontal="left" vertical="center" wrapText="1"/>
    </xf>
    <xf numFmtId="2" fontId="2" fillId="8" borderId="4" xfId="6" applyFill="1" applyBorder="1" applyAlignment="1">
      <alignment horizontal="left" vertical="center" wrapText="1"/>
    </xf>
    <xf numFmtId="2" fontId="2" fillId="8" borderId="3" xfId="6" applyFill="1" applyBorder="1" applyAlignment="1">
      <alignment horizontal="left" vertical="center"/>
    </xf>
    <xf numFmtId="2" fontId="2" fillId="8" borderId="4" xfId="6" applyFill="1" applyBorder="1" applyAlignment="1">
      <alignment horizontal="left" vertical="center"/>
    </xf>
    <xf numFmtId="2" fontId="2" fillId="8" borderId="3" xfId="6" applyFill="1" applyBorder="1" applyAlignment="1">
      <alignment horizontal="center" vertical="center" wrapText="1"/>
    </xf>
    <xf numFmtId="2" fontId="2" fillId="8" borderId="4" xfId="6" applyFill="1" applyBorder="1" applyAlignment="1">
      <alignment horizontal="center" vertical="center" wrapText="1"/>
    </xf>
    <xf numFmtId="1" fontId="2" fillId="8" borderId="3" xfId="6" applyNumberFormat="1" applyFill="1" applyBorder="1" applyAlignment="1" applyProtection="1">
      <alignment horizontal="center" vertical="center" wrapText="1"/>
      <protection locked="0"/>
    </xf>
    <xf numFmtId="1" fontId="2" fillId="8" borderId="4" xfId="6" applyNumberFormat="1" applyFill="1" applyBorder="1" applyAlignment="1" applyProtection="1">
      <alignment horizontal="center" vertical="center" wrapText="1"/>
      <protection locked="0"/>
    </xf>
    <xf numFmtId="2" fontId="2" fillId="8" borderId="5" xfId="6" applyFill="1" applyBorder="1" applyAlignment="1">
      <alignment horizontal="left" vertical="center" wrapText="1"/>
    </xf>
    <xf numFmtId="0" fontId="0" fillId="8" borderId="4" xfId="0" applyFill="1" applyBorder="1" applyAlignment="1">
      <alignment horizontal="left" vertical="center" wrapText="1"/>
    </xf>
    <xf numFmtId="2" fontId="2" fillId="8" borderId="5" xfId="6" applyFill="1" applyBorder="1" applyAlignment="1">
      <alignment horizontal="left" vertical="center"/>
    </xf>
    <xf numFmtId="0" fontId="0" fillId="8" borderId="4" xfId="0" applyFill="1" applyBorder="1" applyAlignment="1">
      <alignment horizontal="left" vertical="center"/>
    </xf>
    <xf numFmtId="2" fontId="2" fillId="8" borderId="5" xfId="6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/>
    </xf>
    <xf numFmtId="1" fontId="2" fillId="8" borderId="5" xfId="6" applyNumberFormat="1" applyFill="1" applyBorder="1" applyAlignment="1" applyProtection="1">
      <alignment horizontal="center" vertical="center" wrapText="1"/>
      <protection locked="0"/>
    </xf>
    <xf numFmtId="0" fontId="2" fillId="0" borderId="25" xfId="0" applyFont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2" fontId="2" fillId="0" borderId="6" xfId="0" applyNumberFormat="1" applyFont="1" applyFill="1" applyBorder="1" applyAlignment="1">
      <alignment horizontal="center" vertical="center" wrapText="1"/>
    </xf>
    <xf numFmtId="2" fontId="2" fillId="0" borderId="2" xfId="0" applyNumberFormat="1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 wrapText="1"/>
    </xf>
    <xf numFmtId="2" fontId="2" fillId="0" borderId="12" xfId="0" applyNumberFormat="1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/>
    </xf>
    <xf numFmtId="0" fontId="2" fillId="0" borderId="34" xfId="0" applyFont="1" applyFill="1" applyBorder="1" applyAlignment="1">
      <alignment horizontal="left" vertical="center"/>
    </xf>
  </cellXfs>
  <cellStyles count="13">
    <cellStyle name="Bleu" xfId="8" xr:uid="{00000000-0005-0000-0000-000000000000}"/>
    <cellStyle name="Haut bas bleu" xfId="6" xr:uid="{00000000-0005-0000-0000-000001000000}"/>
    <cellStyle name="Haut bas bleu ext 2" xfId="7" xr:uid="{00000000-0005-0000-0000-000002000000}"/>
    <cellStyle name="Hautbleu" xfId="3" xr:uid="{00000000-0005-0000-0000-000003000000}"/>
    <cellStyle name="Hautbleu 2" xfId="4" xr:uid="{00000000-0005-0000-0000-000004000000}"/>
    <cellStyle name="Hautbleu ext" xfId="5" xr:uid="{00000000-0005-0000-0000-000005000000}"/>
    <cellStyle name="Lien hypertexte" xfId="1" builtinId="8" hidden="1"/>
    <cellStyle name="Lien hypertexte" xfId="9" builtinId="8" hidden="1"/>
    <cellStyle name="Lien hypertexte" xfId="11" builtinId="8" hidden="1"/>
    <cellStyle name="Lien hypertexte visité" xfId="2" builtinId="9" hidden="1"/>
    <cellStyle name="Lien hypertexte visité" xfId="10" builtinId="9" hidden="1"/>
    <cellStyle name="Lien hypertexte visité" xfId="12" builtinId="9" hidden="1"/>
    <cellStyle name="Normal" xfId="0" builtinId="0"/>
  </cellStyles>
  <dxfs count="0"/>
  <tableStyles count="0" defaultTableStyle="TableStyleMedium9" defaultPivotStyle="PivotStyleMedium4"/>
  <colors>
    <mruColors>
      <color rgb="FF96B0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677332</xdr:colOff>
      <xdr:row>147</xdr:row>
      <xdr:rowOff>53525</xdr:rowOff>
    </xdr:from>
    <xdr:to>
      <xdr:col>3</xdr:col>
      <xdr:colOff>4232</xdr:colOff>
      <xdr:row>148</xdr:row>
      <xdr:rowOff>323850</xdr:rowOff>
    </xdr:to>
    <xdr:pic>
      <xdr:nvPicPr>
        <xdr:cNvPr id="3" name="Image 2" descr="image_preview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49" y="26469525"/>
          <a:ext cx="783167" cy="630158"/>
        </a:xfrm>
        <a:prstGeom prst="rect">
          <a:avLst/>
        </a:prstGeom>
      </xdr:spPr>
    </xdr:pic>
    <xdr:clientData/>
  </xdr:twoCellAnchor>
  <xdr:twoCellAnchor editAs="oneCell">
    <xdr:from>
      <xdr:col>1</xdr:col>
      <xdr:colOff>1322917</xdr:colOff>
      <xdr:row>152</xdr:row>
      <xdr:rowOff>40266</xdr:rowOff>
    </xdr:from>
    <xdr:to>
      <xdr:col>1</xdr:col>
      <xdr:colOff>1784350</xdr:colOff>
      <xdr:row>153</xdr:row>
      <xdr:rowOff>246600</xdr:rowOff>
    </xdr:to>
    <xdr:pic>
      <xdr:nvPicPr>
        <xdr:cNvPr id="6" name="Image 5" descr="image_preview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5417" y="28213099"/>
          <a:ext cx="677333" cy="545001"/>
        </a:xfrm>
        <a:prstGeom prst="rect">
          <a:avLst/>
        </a:prstGeom>
      </xdr:spPr>
    </xdr:pic>
    <xdr:clientData/>
  </xdr:twoCellAnchor>
  <xdr:twoCellAnchor editAs="oneCell">
    <xdr:from>
      <xdr:col>2</xdr:col>
      <xdr:colOff>804333</xdr:colOff>
      <xdr:row>122</xdr:row>
      <xdr:rowOff>52916</xdr:rowOff>
    </xdr:from>
    <xdr:to>
      <xdr:col>2</xdr:col>
      <xdr:colOff>1248832</xdr:colOff>
      <xdr:row>122</xdr:row>
      <xdr:rowOff>343918</xdr:rowOff>
    </xdr:to>
    <xdr:pic>
      <xdr:nvPicPr>
        <xdr:cNvPr id="7" name="Image 6" descr="image_preview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1750" y="21060833"/>
          <a:ext cx="444499" cy="291002"/>
        </a:xfrm>
        <a:prstGeom prst="rect">
          <a:avLst/>
        </a:prstGeom>
      </xdr:spPr>
    </xdr:pic>
    <xdr:clientData/>
  </xdr:twoCellAnchor>
  <xdr:twoCellAnchor editAs="oneCell">
    <xdr:from>
      <xdr:col>3</xdr:col>
      <xdr:colOff>1195917</xdr:colOff>
      <xdr:row>119</xdr:row>
      <xdr:rowOff>31749</xdr:rowOff>
    </xdr:from>
    <xdr:to>
      <xdr:col>3</xdr:col>
      <xdr:colOff>1416050</xdr:colOff>
      <xdr:row>119</xdr:row>
      <xdr:rowOff>322750</xdr:rowOff>
    </xdr:to>
    <xdr:pic>
      <xdr:nvPicPr>
        <xdr:cNvPr id="8" name="Image 7" descr="image_preview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6750" y="19706166"/>
          <a:ext cx="423333" cy="291001"/>
        </a:xfrm>
        <a:prstGeom prst="rect">
          <a:avLst/>
        </a:prstGeom>
      </xdr:spPr>
    </xdr:pic>
    <xdr:clientData/>
  </xdr:twoCellAnchor>
  <xdr:twoCellAnchor editAs="oneCell">
    <xdr:from>
      <xdr:col>2</xdr:col>
      <xdr:colOff>899583</xdr:colOff>
      <xdr:row>86</xdr:row>
      <xdr:rowOff>0</xdr:rowOff>
    </xdr:from>
    <xdr:to>
      <xdr:col>3</xdr:col>
      <xdr:colOff>2115</xdr:colOff>
      <xdr:row>87</xdr:row>
      <xdr:rowOff>167156</xdr:rowOff>
    </xdr:to>
    <xdr:pic>
      <xdr:nvPicPr>
        <xdr:cNvPr id="9" name="Image 8" descr="image_preview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7000" y="14001750"/>
          <a:ext cx="444499" cy="357656"/>
        </a:xfrm>
        <a:prstGeom prst="rect">
          <a:avLst/>
        </a:prstGeom>
      </xdr:spPr>
    </xdr:pic>
    <xdr:clientData/>
  </xdr:twoCellAnchor>
  <xdr:twoCellAnchor editAs="oneCell">
    <xdr:from>
      <xdr:col>1</xdr:col>
      <xdr:colOff>1248833</xdr:colOff>
      <xdr:row>49</xdr:row>
      <xdr:rowOff>59574</xdr:rowOff>
    </xdr:from>
    <xdr:to>
      <xdr:col>1</xdr:col>
      <xdr:colOff>1784350</xdr:colOff>
      <xdr:row>52</xdr:row>
      <xdr:rowOff>94853</xdr:rowOff>
    </xdr:to>
    <xdr:pic>
      <xdr:nvPicPr>
        <xdr:cNvPr id="10" name="Image 9" descr="Eurofeuille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1333" y="6991657"/>
          <a:ext cx="751417" cy="500945"/>
        </a:xfrm>
        <a:prstGeom prst="rect">
          <a:avLst/>
        </a:prstGeom>
      </xdr:spPr>
    </xdr:pic>
    <xdr:clientData/>
  </xdr:twoCellAnchor>
  <xdr:twoCellAnchor editAs="oneCell">
    <xdr:from>
      <xdr:col>1</xdr:col>
      <xdr:colOff>1164167</xdr:colOff>
      <xdr:row>58</xdr:row>
      <xdr:rowOff>121105</xdr:rowOff>
    </xdr:from>
    <xdr:to>
      <xdr:col>1</xdr:col>
      <xdr:colOff>1786684</xdr:colOff>
      <xdr:row>63</xdr:row>
      <xdr:rowOff>91015</xdr:rowOff>
    </xdr:to>
    <xdr:pic>
      <xdr:nvPicPr>
        <xdr:cNvPr id="11" name="Image 10" descr="Vin-Méthode-Nature-Logo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16667" y="8407855"/>
          <a:ext cx="825717" cy="710744"/>
        </a:xfrm>
        <a:prstGeom prst="rect">
          <a:avLst/>
        </a:prstGeom>
      </xdr:spPr>
    </xdr:pic>
    <xdr:clientData/>
  </xdr:twoCellAnchor>
  <xdr:twoCellAnchor editAs="oneCell">
    <xdr:from>
      <xdr:col>4</xdr:col>
      <xdr:colOff>1063626</xdr:colOff>
      <xdr:row>90</xdr:row>
      <xdr:rowOff>119548</xdr:rowOff>
    </xdr:from>
    <xdr:to>
      <xdr:col>4</xdr:col>
      <xdr:colOff>1648884</xdr:colOff>
      <xdr:row>91</xdr:row>
      <xdr:rowOff>243020</xdr:rowOff>
    </xdr:to>
    <xdr:pic>
      <xdr:nvPicPr>
        <xdr:cNvPr id="12" name="Image 11" descr="Eurofeuille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76043" y="14925631"/>
          <a:ext cx="661458" cy="440972"/>
        </a:xfrm>
        <a:prstGeom prst="rect">
          <a:avLst/>
        </a:prstGeom>
      </xdr:spPr>
    </xdr:pic>
    <xdr:clientData/>
  </xdr:twoCellAnchor>
  <xdr:twoCellAnchor editAs="oneCell">
    <xdr:from>
      <xdr:col>1</xdr:col>
      <xdr:colOff>1259417</xdr:colOff>
      <xdr:row>102</xdr:row>
      <xdr:rowOff>10583</xdr:rowOff>
    </xdr:from>
    <xdr:to>
      <xdr:col>2</xdr:col>
      <xdr:colOff>5292</xdr:colOff>
      <xdr:row>104</xdr:row>
      <xdr:rowOff>70555</xdr:rowOff>
    </xdr:to>
    <xdr:pic>
      <xdr:nvPicPr>
        <xdr:cNvPr id="13" name="Image 12" descr="Eurofeuille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1917" y="16520583"/>
          <a:ext cx="661458" cy="440972"/>
        </a:xfrm>
        <a:prstGeom prst="rect">
          <a:avLst/>
        </a:prstGeom>
      </xdr:spPr>
    </xdr:pic>
    <xdr:clientData/>
  </xdr:twoCellAnchor>
  <xdr:twoCellAnchor editAs="oneCell">
    <xdr:from>
      <xdr:col>1</xdr:col>
      <xdr:colOff>1259416</xdr:colOff>
      <xdr:row>117</xdr:row>
      <xdr:rowOff>31750</xdr:rowOff>
    </xdr:from>
    <xdr:to>
      <xdr:col>2</xdr:col>
      <xdr:colOff>5291</xdr:colOff>
      <xdr:row>118</xdr:row>
      <xdr:rowOff>176389</xdr:rowOff>
    </xdr:to>
    <xdr:pic>
      <xdr:nvPicPr>
        <xdr:cNvPr id="14" name="Image 13" descr="Eurofeuille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1916" y="19113500"/>
          <a:ext cx="661458" cy="440972"/>
        </a:xfrm>
        <a:prstGeom prst="rect">
          <a:avLst/>
        </a:prstGeom>
      </xdr:spPr>
    </xdr:pic>
    <xdr:clientData/>
  </xdr:twoCellAnchor>
  <xdr:twoCellAnchor editAs="oneCell">
    <xdr:from>
      <xdr:col>1</xdr:col>
      <xdr:colOff>1291167</xdr:colOff>
      <xdr:row>147</xdr:row>
      <xdr:rowOff>158749</xdr:rowOff>
    </xdr:from>
    <xdr:to>
      <xdr:col>1</xdr:col>
      <xdr:colOff>1787525</xdr:colOff>
      <xdr:row>148</xdr:row>
      <xdr:rowOff>239888</xdr:rowOff>
    </xdr:to>
    <xdr:pic>
      <xdr:nvPicPr>
        <xdr:cNvPr id="15" name="Image 14" descr="Eurofeuille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43667" y="27326166"/>
          <a:ext cx="661458" cy="4409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4"/>
  <sheetViews>
    <sheetView showGridLines="0" tabSelected="1" topLeftCell="A142" zoomScale="120" zoomScaleNormal="120" zoomScalePageLayoutView="120" workbookViewId="0">
      <selection activeCell="L67" sqref="L67"/>
    </sheetView>
  </sheetViews>
  <sheetFormatPr baseColWidth="10" defaultColWidth="10.6640625" defaultRowHeight="12" x14ac:dyDescent="0.15"/>
  <cols>
    <col min="1" max="1" width="10.6640625" style="13"/>
    <col min="2" max="2" width="23.5" style="13" customWidth="1"/>
    <col min="3" max="3" width="17" style="13" customWidth="1"/>
    <col min="4" max="4" width="18.6640625" style="13" customWidth="1"/>
    <col min="5" max="5" width="21.6640625" style="13" customWidth="1"/>
    <col min="6" max="6" width="17.83203125" style="13" customWidth="1"/>
    <col min="7" max="7" width="7.6640625" style="48" customWidth="1"/>
    <col min="8" max="8" width="6.5" style="13" customWidth="1"/>
    <col min="9" max="9" width="7.6640625" style="13" customWidth="1"/>
    <col min="10" max="16384" width="10.6640625" style="13"/>
  </cols>
  <sheetData>
    <row r="1" spans="1:11" s="15" customFormat="1" ht="29" customHeight="1" x14ac:dyDescent="0.15">
      <c r="B1" s="229" t="s">
        <v>180</v>
      </c>
      <c r="C1" s="230"/>
      <c r="D1" s="230"/>
      <c r="E1" s="230"/>
      <c r="F1" s="230"/>
      <c r="G1" s="230"/>
      <c r="H1" s="230"/>
      <c r="I1" s="230"/>
    </row>
    <row r="2" spans="1:11" ht="13" thickBot="1" x14ac:dyDescent="0.2"/>
    <row r="3" spans="1:11" s="15" customFormat="1" ht="18" customHeight="1" thickBot="1" x14ac:dyDescent="0.2">
      <c r="A3" s="24"/>
      <c r="B3" s="12" t="s">
        <v>110</v>
      </c>
      <c r="C3" s="12" t="s">
        <v>111</v>
      </c>
      <c r="D3" s="12" t="s">
        <v>146</v>
      </c>
      <c r="E3" s="12" t="s">
        <v>109</v>
      </c>
      <c r="F3" s="12" t="s">
        <v>147</v>
      </c>
      <c r="G3" s="11" t="s">
        <v>154</v>
      </c>
      <c r="H3" s="11" t="s">
        <v>148</v>
      </c>
      <c r="I3" s="10" t="s">
        <v>149</v>
      </c>
    </row>
    <row r="4" spans="1:11" s="15" customFormat="1" ht="16" customHeight="1" x14ac:dyDescent="0.15">
      <c r="A4" s="24"/>
      <c r="B4" s="9" t="s">
        <v>3</v>
      </c>
      <c r="C4" s="8"/>
      <c r="D4" s="7"/>
      <c r="E4" s="7"/>
      <c r="F4" s="7"/>
      <c r="G4" s="6" t="s">
        <v>155</v>
      </c>
      <c r="H4" s="7"/>
      <c r="I4" s="5"/>
    </row>
    <row r="5" spans="1:11" x14ac:dyDescent="0.15">
      <c r="A5" s="25"/>
      <c r="B5" s="34"/>
      <c r="C5" s="16"/>
      <c r="D5" s="16"/>
      <c r="E5" s="23"/>
      <c r="F5" s="23"/>
      <c r="G5" s="28"/>
      <c r="H5" s="46"/>
      <c r="I5" s="18"/>
    </row>
    <row r="6" spans="1:11" ht="12" customHeight="1" x14ac:dyDescent="0.15">
      <c r="B6" s="183" t="s">
        <v>4</v>
      </c>
      <c r="C6" s="256" t="s">
        <v>156</v>
      </c>
      <c r="D6" s="172" t="s">
        <v>59</v>
      </c>
      <c r="E6" s="172" t="s">
        <v>60</v>
      </c>
      <c r="F6" s="168" t="s">
        <v>150</v>
      </c>
      <c r="G6" s="174">
        <v>8</v>
      </c>
      <c r="H6" s="176">
        <v>0</v>
      </c>
      <c r="I6" s="178">
        <f>(G6*H6)</f>
        <v>0</v>
      </c>
    </row>
    <row r="7" spans="1:11" ht="16" x14ac:dyDescent="0.2">
      <c r="B7" s="183"/>
      <c r="C7" s="256"/>
      <c r="D7" s="172"/>
      <c r="E7" s="172"/>
      <c r="F7" s="169"/>
      <c r="G7" s="175"/>
      <c r="H7" s="177"/>
      <c r="I7" s="179"/>
      <c r="K7" s="44"/>
    </row>
    <row r="8" spans="1:11" ht="13" customHeight="1" x14ac:dyDescent="0.2">
      <c r="B8" s="183"/>
      <c r="C8" s="256"/>
      <c r="D8" s="172"/>
      <c r="E8" s="172"/>
      <c r="F8" s="180" t="s">
        <v>108</v>
      </c>
      <c r="G8" s="181">
        <v>45</v>
      </c>
      <c r="H8" s="182">
        <v>0</v>
      </c>
      <c r="I8" s="178">
        <f>(G8*H8)</f>
        <v>0</v>
      </c>
      <c r="K8" s="44"/>
    </row>
    <row r="9" spans="1:11" ht="16" x14ac:dyDescent="0.2">
      <c r="B9" s="183"/>
      <c r="C9" s="257"/>
      <c r="D9" s="173"/>
      <c r="E9" s="173"/>
      <c r="F9" s="169"/>
      <c r="G9" s="175"/>
      <c r="H9" s="177"/>
      <c r="I9" s="179"/>
      <c r="K9" s="44"/>
    </row>
    <row r="10" spans="1:11" ht="13" customHeight="1" x14ac:dyDescent="0.15">
      <c r="B10" s="183"/>
      <c r="C10" s="180" t="s">
        <v>157</v>
      </c>
      <c r="D10" s="180" t="s">
        <v>2</v>
      </c>
      <c r="E10" s="180" t="s">
        <v>158</v>
      </c>
      <c r="F10" s="180" t="s">
        <v>150</v>
      </c>
      <c r="G10" s="181">
        <v>10</v>
      </c>
      <c r="H10" s="182">
        <v>0</v>
      </c>
      <c r="I10" s="178">
        <f>(G10*H10)</f>
        <v>0</v>
      </c>
    </row>
    <row r="11" spans="1:11" ht="12" customHeight="1" x14ac:dyDescent="0.15">
      <c r="B11" s="183"/>
      <c r="C11" s="168"/>
      <c r="D11" s="168"/>
      <c r="E11" s="168"/>
      <c r="F11" s="169"/>
      <c r="G11" s="175"/>
      <c r="H11" s="177"/>
      <c r="I11" s="179"/>
    </row>
    <row r="12" spans="1:11" ht="13" customHeight="1" x14ac:dyDescent="0.15">
      <c r="B12" s="183"/>
      <c r="C12" s="168"/>
      <c r="D12" s="168"/>
      <c r="E12" s="168"/>
      <c r="F12" s="180" t="s">
        <v>108</v>
      </c>
      <c r="G12" s="181">
        <v>55</v>
      </c>
      <c r="H12" s="182">
        <v>0</v>
      </c>
      <c r="I12" s="195">
        <f>(G12*H12)</f>
        <v>0</v>
      </c>
    </row>
    <row r="13" spans="1:11" ht="12" customHeight="1" x14ac:dyDescent="0.15">
      <c r="B13" s="183"/>
      <c r="C13" s="169"/>
      <c r="D13" s="169"/>
      <c r="E13" s="169"/>
      <c r="F13" s="169"/>
      <c r="G13" s="175"/>
      <c r="H13" s="177"/>
      <c r="I13" s="179"/>
    </row>
    <row r="14" spans="1:11" ht="22" customHeight="1" x14ac:dyDescent="0.15">
      <c r="B14" s="183"/>
      <c r="C14" s="189" t="s">
        <v>157</v>
      </c>
      <c r="D14" s="189" t="s">
        <v>181</v>
      </c>
      <c r="E14" s="189" t="s">
        <v>158</v>
      </c>
      <c r="F14" s="73" t="s">
        <v>150</v>
      </c>
      <c r="G14" s="49">
        <v>20</v>
      </c>
      <c r="H14" s="67">
        <v>0</v>
      </c>
      <c r="I14" s="45">
        <f t="shared" ref="I14:I19" si="0">(G14*H14)</f>
        <v>0</v>
      </c>
    </row>
    <row r="15" spans="1:11" ht="22" customHeight="1" x14ac:dyDescent="0.15">
      <c r="B15" s="183"/>
      <c r="C15" s="189"/>
      <c r="D15" s="189"/>
      <c r="E15" s="189"/>
      <c r="F15" s="73" t="s">
        <v>108</v>
      </c>
      <c r="G15" s="49">
        <v>110</v>
      </c>
      <c r="H15" s="67">
        <v>0</v>
      </c>
      <c r="I15" s="45">
        <f t="shared" si="0"/>
        <v>0</v>
      </c>
    </row>
    <row r="16" spans="1:11" ht="22" customHeight="1" x14ac:dyDescent="0.15">
      <c r="B16" s="183"/>
      <c r="C16" s="189" t="s">
        <v>124</v>
      </c>
      <c r="D16" s="189" t="s">
        <v>125</v>
      </c>
      <c r="E16" s="189" t="s">
        <v>126</v>
      </c>
      <c r="F16" s="146" t="s">
        <v>150</v>
      </c>
      <c r="G16" s="49">
        <v>20</v>
      </c>
      <c r="H16" s="67">
        <v>0</v>
      </c>
      <c r="I16" s="45">
        <f t="shared" si="0"/>
        <v>0</v>
      </c>
    </row>
    <row r="17" spans="1:10" ht="22" customHeight="1" x14ac:dyDescent="0.15">
      <c r="B17" s="183"/>
      <c r="C17" s="189"/>
      <c r="D17" s="189"/>
      <c r="E17" s="189"/>
      <c r="F17" s="146" t="s">
        <v>108</v>
      </c>
      <c r="G17" s="49">
        <v>110</v>
      </c>
      <c r="H17" s="67">
        <v>0</v>
      </c>
      <c r="I17" s="45">
        <f t="shared" si="0"/>
        <v>0</v>
      </c>
    </row>
    <row r="18" spans="1:10" ht="22" customHeight="1" x14ac:dyDescent="0.15">
      <c r="B18" s="231"/>
      <c r="C18" s="232" t="s">
        <v>78</v>
      </c>
      <c r="D18" s="232" t="s">
        <v>27</v>
      </c>
      <c r="E18" s="234" t="s">
        <v>56</v>
      </c>
      <c r="F18" s="111" t="s">
        <v>150</v>
      </c>
      <c r="G18" s="123">
        <v>6</v>
      </c>
      <c r="H18" s="124">
        <v>0</v>
      </c>
      <c r="I18" s="125">
        <f t="shared" si="0"/>
        <v>0</v>
      </c>
    </row>
    <row r="19" spans="1:10" ht="22" customHeight="1" x14ac:dyDescent="0.15">
      <c r="B19" s="231"/>
      <c r="C19" s="233"/>
      <c r="D19" s="233"/>
      <c r="E19" s="233"/>
      <c r="F19" s="126" t="s">
        <v>108</v>
      </c>
      <c r="G19" s="127">
        <v>35</v>
      </c>
      <c r="H19" s="113">
        <v>0</v>
      </c>
      <c r="I19" s="114">
        <f t="shared" si="0"/>
        <v>0</v>
      </c>
      <c r="J19" s="80"/>
    </row>
    <row r="20" spans="1:10" ht="13" customHeight="1" x14ac:dyDescent="0.15">
      <c r="A20" s="25"/>
      <c r="B20" s="34"/>
      <c r="C20" s="16"/>
      <c r="D20" s="19"/>
      <c r="E20" s="19"/>
      <c r="F20" s="19"/>
      <c r="G20" s="50"/>
      <c r="H20" s="62"/>
      <c r="I20" s="18"/>
    </row>
    <row r="21" spans="1:10" ht="13" customHeight="1" x14ac:dyDescent="0.15">
      <c r="A21" s="25"/>
      <c r="B21" s="148"/>
      <c r="C21" s="190" t="s">
        <v>159</v>
      </c>
      <c r="D21" s="190" t="s">
        <v>2</v>
      </c>
      <c r="E21" s="191" t="s">
        <v>158</v>
      </c>
      <c r="F21" s="190" t="s">
        <v>150</v>
      </c>
      <c r="G21" s="193">
        <v>14</v>
      </c>
      <c r="H21" s="219">
        <v>0</v>
      </c>
      <c r="I21" s="158">
        <f>(G21*H21)</f>
        <v>0</v>
      </c>
    </row>
    <row r="22" spans="1:10" ht="13" customHeight="1" x14ac:dyDescent="0.15">
      <c r="A22" s="25"/>
      <c r="B22" s="148"/>
      <c r="C22" s="190"/>
      <c r="D22" s="190"/>
      <c r="E22" s="191"/>
      <c r="F22" s="161"/>
      <c r="G22" s="163"/>
      <c r="H22" s="165"/>
      <c r="I22" s="159"/>
    </row>
    <row r="23" spans="1:10" ht="13" customHeight="1" x14ac:dyDescent="0.15">
      <c r="A23" s="25"/>
      <c r="B23" s="148"/>
      <c r="C23" s="190"/>
      <c r="D23" s="190"/>
      <c r="E23" s="191"/>
      <c r="F23" s="160" t="s">
        <v>108</v>
      </c>
      <c r="G23" s="162">
        <v>75</v>
      </c>
      <c r="H23" s="164">
        <v>0</v>
      </c>
      <c r="I23" s="166">
        <f>(G23*H23)</f>
        <v>0</v>
      </c>
    </row>
    <row r="24" spans="1:10" ht="13" customHeight="1" x14ac:dyDescent="0.15">
      <c r="A24" s="25"/>
      <c r="B24" s="167" t="s">
        <v>5</v>
      </c>
      <c r="C24" s="161"/>
      <c r="D24" s="161"/>
      <c r="E24" s="192"/>
      <c r="F24" s="161"/>
      <c r="G24" s="163"/>
      <c r="H24" s="165"/>
      <c r="I24" s="159"/>
    </row>
    <row r="25" spans="1:10" ht="17" customHeight="1" x14ac:dyDescent="0.15">
      <c r="A25" s="25"/>
      <c r="B25" s="167"/>
      <c r="C25" s="190" t="s">
        <v>159</v>
      </c>
      <c r="D25" s="190" t="s">
        <v>181</v>
      </c>
      <c r="E25" s="191" t="s">
        <v>158</v>
      </c>
      <c r="F25" s="190" t="s">
        <v>150</v>
      </c>
      <c r="G25" s="193">
        <v>14</v>
      </c>
      <c r="H25" s="219">
        <v>0</v>
      </c>
      <c r="I25" s="158">
        <f>(G25*H25)</f>
        <v>0</v>
      </c>
    </row>
    <row r="26" spans="1:10" ht="12" customHeight="1" x14ac:dyDescent="0.15">
      <c r="A26" s="25"/>
      <c r="B26" s="149"/>
      <c r="C26" s="190"/>
      <c r="D26" s="190"/>
      <c r="E26" s="191"/>
      <c r="F26" s="161"/>
      <c r="G26" s="163"/>
      <c r="H26" s="165"/>
      <c r="I26" s="159"/>
    </row>
    <row r="27" spans="1:10" ht="13" customHeight="1" x14ac:dyDescent="0.15">
      <c r="A27" s="25"/>
      <c r="B27" s="149"/>
      <c r="C27" s="190"/>
      <c r="D27" s="190"/>
      <c r="E27" s="191"/>
      <c r="F27" s="160" t="s">
        <v>108</v>
      </c>
      <c r="G27" s="162">
        <v>75</v>
      </c>
      <c r="H27" s="164">
        <v>0</v>
      </c>
      <c r="I27" s="166">
        <f>(G27*H27)</f>
        <v>0</v>
      </c>
    </row>
    <row r="28" spans="1:10" ht="12" customHeight="1" x14ac:dyDescent="0.15">
      <c r="A28" s="25"/>
      <c r="B28" s="149"/>
      <c r="C28" s="190"/>
      <c r="D28" s="190"/>
      <c r="E28" s="191"/>
      <c r="F28" s="190"/>
      <c r="G28" s="193"/>
      <c r="H28" s="219"/>
      <c r="I28" s="158"/>
    </row>
    <row r="29" spans="1:10" ht="13" customHeight="1" x14ac:dyDescent="0.15">
      <c r="A29" s="25"/>
      <c r="B29" s="34"/>
      <c r="C29" s="16"/>
      <c r="D29" s="19"/>
      <c r="E29" s="19"/>
      <c r="F29" s="16"/>
      <c r="G29" s="50"/>
      <c r="H29" s="62"/>
      <c r="I29" s="18"/>
    </row>
    <row r="30" spans="1:10" ht="13" customHeight="1" x14ac:dyDescent="0.15">
      <c r="A30" s="25"/>
      <c r="B30" s="148"/>
      <c r="C30" s="168" t="s">
        <v>127</v>
      </c>
      <c r="D30" s="170" t="s">
        <v>185</v>
      </c>
      <c r="E30" s="172" t="s">
        <v>134</v>
      </c>
      <c r="F30" s="168" t="s">
        <v>80</v>
      </c>
      <c r="G30" s="174">
        <v>8</v>
      </c>
      <c r="H30" s="176">
        <v>0</v>
      </c>
      <c r="I30" s="178">
        <f>(G30*H30)</f>
        <v>0</v>
      </c>
      <c r="J30" s="150"/>
    </row>
    <row r="31" spans="1:10" ht="13" customHeight="1" x14ac:dyDescent="0.15">
      <c r="A31" s="25"/>
      <c r="B31" s="148"/>
      <c r="C31" s="168"/>
      <c r="D31" s="170"/>
      <c r="E31" s="172"/>
      <c r="F31" s="169"/>
      <c r="G31" s="175"/>
      <c r="H31" s="177"/>
      <c r="I31" s="179"/>
      <c r="J31" s="150"/>
    </row>
    <row r="32" spans="1:10" ht="13" customHeight="1" x14ac:dyDescent="0.15">
      <c r="A32" s="25"/>
      <c r="B32" s="148"/>
      <c r="C32" s="168"/>
      <c r="D32" s="170"/>
      <c r="E32" s="172"/>
      <c r="F32" s="180" t="s">
        <v>81</v>
      </c>
      <c r="G32" s="181">
        <v>45</v>
      </c>
      <c r="H32" s="182">
        <v>0</v>
      </c>
      <c r="I32" s="178">
        <f>(G32*H32)</f>
        <v>0</v>
      </c>
      <c r="J32" s="150"/>
    </row>
    <row r="33" spans="1:10" ht="13" customHeight="1" x14ac:dyDescent="0.15">
      <c r="A33" s="25"/>
      <c r="B33" s="183" t="s">
        <v>57</v>
      </c>
      <c r="C33" s="169"/>
      <c r="D33" s="171"/>
      <c r="E33" s="173"/>
      <c r="F33" s="169"/>
      <c r="G33" s="175"/>
      <c r="H33" s="177"/>
      <c r="I33" s="179"/>
      <c r="J33" s="150"/>
    </row>
    <row r="34" spans="1:10" ht="13" customHeight="1" x14ac:dyDescent="0.15">
      <c r="A34" s="25"/>
      <c r="B34" s="183"/>
      <c r="C34" s="168" t="s">
        <v>182</v>
      </c>
      <c r="D34" s="170" t="s">
        <v>184</v>
      </c>
      <c r="E34" s="172" t="s">
        <v>183</v>
      </c>
      <c r="F34" s="168" t="s">
        <v>80</v>
      </c>
      <c r="G34" s="174">
        <v>8</v>
      </c>
      <c r="H34" s="176">
        <v>0</v>
      </c>
      <c r="I34" s="178">
        <f>(G34*H34)</f>
        <v>0</v>
      </c>
    </row>
    <row r="35" spans="1:10" ht="12" customHeight="1" x14ac:dyDescent="0.15">
      <c r="A35" s="25"/>
      <c r="B35" s="151"/>
      <c r="C35" s="168"/>
      <c r="D35" s="170"/>
      <c r="E35" s="172"/>
      <c r="F35" s="169"/>
      <c r="G35" s="175"/>
      <c r="H35" s="177"/>
      <c r="I35" s="179"/>
    </row>
    <row r="36" spans="1:10" ht="13" customHeight="1" x14ac:dyDescent="0.15">
      <c r="A36" s="25"/>
      <c r="B36" s="151"/>
      <c r="C36" s="168"/>
      <c r="D36" s="170"/>
      <c r="E36" s="172"/>
      <c r="F36" s="180" t="s">
        <v>81</v>
      </c>
      <c r="G36" s="181">
        <v>45</v>
      </c>
      <c r="H36" s="182">
        <v>0</v>
      </c>
      <c r="I36" s="178">
        <f>(G36*H36)</f>
        <v>0</v>
      </c>
    </row>
    <row r="37" spans="1:10" ht="12" customHeight="1" x14ac:dyDescent="0.15">
      <c r="A37" s="25"/>
      <c r="B37" s="151"/>
      <c r="C37" s="168"/>
      <c r="D37" s="170"/>
      <c r="E37" s="172"/>
      <c r="F37" s="168"/>
      <c r="G37" s="174"/>
      <c r="H37" s="176"/>
      <c r="I37" s="178"/>
    </row>
    <row r="38" spans="1:10" ht="13" customHeight="1" x14ac:dyDescent="0.15">
      <c r="A38" s="25"/>
      <c r="B38" s="34"/>
      <c r="C38" s="16"/>
      <c r="D38" s="19"/>
      <c r="E38" s="19"/>
      <c r="F38" s="16"/>
      <c r="G38" s="28"/>
      <c r="H38" s="62"/>
      <c r="I38" s="20"/>
    </row>
    <row r="39" spans="1:10" ht="12" customHeight="1" x14ac:dyDescent="0.15">
      <c r="A39" s="25"/>
      <c r="B39" s="183" t="s">
        <v>58</v>
      </c>
      <c r="C39" s="168" t="s">
        <v>93</v>
      </c>
      <c r="D39" s="168" t="s">
        <v>27</v>
      </c>
      <c r="E39" s="191" t="s">
        <v>39</v>
      </c>
      <c r="F39" s="190" t="s">
        <v>150</v>
      </c>
      <c r="G39" s="193">
        <v>10</v>
      </c>
      <c r="H39" s="219">
        <v>0</v>
      </c>
      <c r="I39" s="158">
        <f>(G39*H39)</f>
        <v>0</v>
      </c>
    </row>
    <row r="40" spans="1:10" ht="12" customHeight="1" x14ac:dyDescent="0.15">
      <c r="A40" s="25"/>
      <c r="B40" s="235"/>
      <c r="C40" s="168"/>
      <c r="D40" s="168"/>
      <c r="E40" s="191"/>
      <c r="F40" s="161"/>
      <c r="G40" s="163"/>
      <c r="H40" s="165"/>
      <c r="I40" s="159"/>
    </row>
    <row r="41" spans="1:10" ht="12" customHeight="1" x14ac:dyDescent="0.15">
      <c r="A41" s="25"/>
      <c r="B41" s="235"/>
      <c r="C41" s="168"/>
      <c r="D41" s="168"/>
      <c r="E41" s="191"/>
      <c r="F41" s="160" t="s">
        <v>108</v>
      </c>
      <c r="G41" s="193">
        <v>55</v>
      </c>
      <c r="H41" s="164">
        <v>0</v>
      </c>
      <c r="I41" s="158">
        <f>(G41*H41)</f>
        <v>0</v>
      </c>
    </row>
    <row r="42" spans="1:10" ht="12" customHeight="1" x14ac:dyDescent="0.15">
      <c r="A42" s="25"/>
      <c r="B42" s="235"/>
      <c r="C42" s="169"/>
      <c r="D42" s="169"/>
      <c r="E42" s="192"/>
      <c r="F42" s="161"/>
      <c r="G42" s="163"/>
      <c r="H42" s="165"/>
      <c r="I42" s="159"/>
    </row>
    <row r="43" spans="1:10" ht="12" customHeight="1" x14ac:dyDescent="0.15">
      <c r="A43" s="25"/>
      <c r="B43" s="236"/>
      <c r="C43" s="180" t="s">
        <v>128</v>
      </c>
      <c r="D43" s="180" t="s">
        <v>125</v>
      </c>
      <c r="E43" s="222" t="s">
        <v>129</v>
      </c>
      <c r="F43" s="160" t="s">
        <v>130</v>
      </c>
      <c r="G43" s="162">
        <v>10</v>
      </c>
      <c r="H43" s="164">
        <v>0</v>
      </c>
      <c r="I43" s="166">
        <f>(G43*H43)</f>
        <v>0</v>
      </c>
    </row>
    <row r="44" spans="1:10" ht="13" customHeight="1" x14ac:dyDescent="0.15">
      <c r="A44" s="25"/>
      <c r="B44" s="236"/>
      <c r="C44" s="168"/>
      <c r="D44" s="168"/>
      <c r="E44" s="191"/>
      <c r="F44" s="190"/>
      <c r="G44" s="193"/>
      <c r="H44" s="219"/>
      <c r="I44" s="158"/>
    </row>
    <row r="45" spans="1:10" ht="12" customHeight="1" x14ac:dyDescent="0.15">
      <c r="A45" s="25"/>
      <c r="B45" s="236"/>
      <c r="C45" s="168"/>
      <c r="D45" s="168"/>
      <c r="E45" s="191"/>
      <c r="F45" s="161"/>
      <c r="G45" s="163"/>
      <c r="H45" s="165"/>
      <c r="I45" s="159"/>
    </row>
    <row r="46" spans="1:10" ht="12" customHeight="1" x14ac:dyDescent="0.15">
      <c r="A46" s="25"/>
      <c r="B46" s="236"/>
      <c r="C46" s="246"/>
      <c r="D46" s="246"/>
      <c r="E46" s="258"/>
      <c r="F46" s="190" t="s">
        <v>108</v>
      </c>
      <c r="G46" s="162">
        <v>55</v>
      </c>
      <c r="H46" s="164">
        <v>0</v>
      </c>
      <c r="I46" s="166">
        <f>(G46*H46)</f>
        <v>0</v>
      </c>
    </row>
    <row r="47" spans="1:10" ht="12" customHeight="1" x14ac:dyDescent="0.15">
      <c r="A47" s="25"/>
      <c r="B47" s="236"/>
      <c r="C47" s="246"/>
      <c r="D47" s="246"/>
      <c r="E47" s="258"/>
      <c r="F47" s="190"/>
      <c r="G47" s="193"/>
      <c r="H47" s="219"/>
      <c r="I47" s="158"/>
    </row>
    <row r="48" spans="1:10" ht="12" customHeight="1" x14ac:dyDescent="0.15">
      <c r="A48" s="25"/>
      <c r="B48" s="236"/>
      <c r="C48" s="246"/>
      <c r="D48" s="246"/>
      <c r="E48" s="258"/>
      <c r="F48" s="259"/>
      <c r="G48" s="260"/>
      <c r="H48" s="219"/>
      <c r="I48" s="158"/>
    </row>
    <row r="49" spans="1:9" ht="13" customHeight="1" x14ac:dyDescent="0.15">
      <c r="A49" s="25"/>
      <c r="B49" s="34"/>
      <c r="C49" s="16"/>
      <c r="D49" s="19"/>
      <c r="E49" s="19"/>
      <c r="F49" s="16"/>
      <c r="G49" s="50"/>
      <c r="H49" s="62"/>
      <c r="I49" s="18"/>
    </row>
    <row r="50" spans="1:9" ht="13" customHeight="1" x14ac:dyDescent="0.15">
      <c r="B50" s="183" t="s">
        <v>138</v>
      </c>
      <c r="C50" s="168" t="s">
        <v>40</v>
      </c>
      <c r="D50" s="241" t="s">
        <v>41</v>
      </c>
      <c r="E50" s="241" t="s">
        <v>42</v>
      </c>
      <c r="F50" s="261" t="s">
        <v>150</v>
      </c>
      <c r="G50" s="243">
        <v>18</v>
      </c>
      <c r="H50" s="214">
        <v>0</v>
      </c>
      <c r="I50" s="198">
        <f>(G50*H50)</f>
        <v>0</v>
      </c>
    </row>
    <row r="51" spans="1:9" ht="12" customHeight="1" x14ac:dyDescent="0.15">
      <c r="B51" s="235"/>
      <c r="C51" s="246"/>
      <c r="D51" s="241"/>
      <c r="E51" s="241"/>
      <c r="F51" s="261"/>
      <c r="G51" s="243"/>
      <c r="H51" s="215"/>
      <c r="I51" s="199"/>
    </row>
    <row r="52" spans="1:9" ht="12" customHeight="1" x14ac:dyDescent="0.15">
      <c r="B52" s="235"/>
      <c r="C52" s="246"/>
      <c r="D52" s="241"/>
      <c r="E52" s="241"/>
      <c r="F52" s="239" t="s">
        <v>108</v>
      </c>
      <c r="G52" s="237">
        <v>100</v>
      </c>
      <c r="H52" s="216">
        <v>0</v>
      </c>
      <c r="I52" s="198">
        <f>(G52*H52)</f>
        <v>0</v>
      </c>
    </row>
    <row r="53" spans="1:9" ht="12" customHeight="1" x14ac:dyDescent="0.15">
      <c r="B53" s="235"/>
      <c r="C53" s="246"/>
      <c r="D53" s="241"/>
      <c r="E53" s="242"/>
      <c r="F53" s="240"/>
      <c r="G53" s="238"/>
      <c r="H53" s="215"/>
      <c r="I53" s="199"/>
    </row>
    <row r="54" spans="1:9" ht="12" customHeight="1" x14ac:dyDescent="0.15">
      <c r="B54" s="235"/>
      <c r="C54" s="246"/>
      <c r="D54" s="241"/>
      <c r="E54" s="247" t="s">
        <v>43</v>
      </c>
      <c r="F54" s="241" t="s">
        <v>150</v>
      </c>
      <c r="G54" s="243">
        <v>20</v>
      </c>
      <c r="H54" s="217">
        <v>0</v>
      </c>
      <c r="I54" s="198">
        <f>(G54*H54)</f>
        <v>0</v>
      </c>
    </row>
    <row r="55" spans="1:9" ht="12" customHeight="1" x14ac:dyDescent="0.15">
      <c r="B55" s="235"/>
      <c r="C55" s="246"/>
      <c r="D55" s="241"/>
      <c r="E55" s="248"/>
      <c r="F55" s="242"/>
      <c r="G55" s="238"/>
      <c r="H55" s="218"/>
      <c r="I55" s="199"/>
    </row>
    <row r="56" spans="1:9" ht="12" customHeight="1" x14ac:dyDescent="0.15">
      <c r="B56" s="235"/>
      <c r="C56" s="246"/>
      <c r="D56" s="241"/>
      <c r="E56" s="248"/>
      <c r="F56" s="233" t="s">
        <v>108</v>
      </c>
      <c r="G56" s="237">
        <v>110</v>
      </c>
      <c r="H56" s="217">
        <v>0</v>
      </c>
      <c r="I56" s="198">
        <f>(G56*H56)</f>
        <v>0</v>
      </c>
    </row>
    <row r="57" spans="1:9" ht="12" customHeight="1" x14ac:dyDescent="0.15">
      <c r="B57" s="235"/>
      <c r="C57" s="246"/>
      <c r="D57" s="242"/>
      <c r="E57" s="249"/>
      <c r="F57" s="242"/>
      <c r="G57" s="238"/>
      <c r="H57" s="218"/>
      <c r="I57" s="199"/>
    </row>
    <row r="58" spans="1:9" ht="12" customHeight="1" x14ac:dyDescent="0.15">
      <c r="B58" s="235"/>
      <c r="C58" s="246"/>
      <c r="D58" s="313" t="s">
        <v>135</v>
      </c>
      <c r="E58" s="160" t="s">
        <v>44</v>
      </c>
      <c r="F58" s="281" t="s">
        <v>150</v>
      </c>
      <c r="G58" s="162">
        <v>20</v>
      </c>
      <c r="H58" s="164">
        <v>0</v>
      </c>
      <c r="I58" s="314">
        <f>(G58*H58)</f>
        <v>0</v>
      </c>
    </row>
    <row r="59" spans="1:9" ht="12" customHeight="1" x14ac:dyDescent="0.15">
      <c r="B59" s="235"/>
      <c r="C59" s="246"/>
      <c r="D59" s="315"/>
      <c r="E59" s="190"/>
      <c r="F59" s="282"/>
      <c r="G59" s="163"/>
      <c r="H59" s="165"/>
      <c r="I59" s="159"/>
    </row>
    <row r="60" spans="1:9" ht="12" customHeight="1" x14ac:dyDescent="0.15">
      <c r="B60" s="235"/>
      <c r="C60" s="246"/>
      <c r="D60" s="315"/>
      <c r="E60" s="190"/>
      <c r="F60" s="281" t="s">
        <v>108</v>
      </c>
      <c r="G60" s="162">
        <v>110</v>
      </c>
      <c r="H60" s="164">
        <v>0</v>
      </c>
      <c r="I60" s="314">
        <f>(G60*H60)</f>
        <v>0</v>
      </c>
    </row>
    <row r="61" spans="1:9" ht="12" customHeight="1" x14ac:dyDescent="0.15">
      <c r="B61" s="235"/>
      <c r="C61" s="246"/>
      <c r="D61" s="316"/>
      <c r="E61" s="161"/>
      <c r="F61" s="282"/>
      <c r="G61" s="163"/>
      <c r="H61" s="165"/>
      <c r="I61" s="159"/>
    </row>
    <row r="62" spans="1:9" ht="12" customHeight="1" x14ac:dyDescent="0.15">
      <c r="B62" s="236"/>
      <c r="C62" s="246"/>
      <c r="D62" s="188" t="s">
        <v>137</v>
      </c>
      <c r="E62" s="180" t="s">
        <v>136</v>
      </c>
      <c r="F62" s="180" t="s">
        <v>150</v>
      </c>
      <c r="G62" s="181">
        <v>18</v>
      </c>
      <c r="H62" s="182">
        <v>0</v>
      </c>
      <c r="I62" s="203">
        <f>(G62*H62)</f>
        <v>0</v>
      </c>
    </row>
    <row r="63" spans="1:9" ht="12" customHeight="1" x14ac:dyDescent="0.15">
      <c r="B63" s="236"/>
      <c r="C63" s="246"/>
      <c r="D63" s="170"/>
      <c r="E63" s="168"/>
      <c r="F63" s="169"/>
      <c r="G63" s="175"/>
      <c r="H63" s="177"/>
      <c r="I63" s="179"/>
    </row>
    <row r="64" spans="1:9" ht="12" customHeight="1" x14ac:dyDescent="0.15">
      <c r="B64" s="236"/>
      <c r="C64" s="246"/>
      <c r="D64" s="170"/>
      <c r="E64" s="245"/>
      <c r="F64" s="168" t="s">
        <v>108</v>
      </c>
      <c r="G64" s="174">
        <v>100</v>
      </c>
      <c r="H64" s="182">
        <v>0</v>
      </c>
      <c r="I64" s="203">
        <f>(G64*H64)</f>
        <v>0</v>
      </c>
    </row>
    <row r="65" spans="1:9" ht="12" customHeight="1" x14ac:dyDescent="0.15">
      <c r="B65" s="236"/>
      <c r="C65" s="246"/>
      <c r="D65" s="170"/>
      <c r="E65" s="245"/>
      <c r="F65" s="168"/>
      <c r="G65" s="174"/>
      <c r="H65" s="176"/>
      <c r="I65" s="178"/>
    </row>
    <row r="66" spans="1:9" ht="12" customHeight="1" x14ac:dyDescent="0.15">
      <c r="A66" s="25"/>
      <c r="B66" s="34"/>
      <c r="C66" s="16"/>
      <c r="D66" s="19"/>
      <c r="E66" s="19"/>
      <c r="F66" s="16"/>
      <c r="G66" s="50"/>
      <c r="H66" s="63"/>
      <c r="I66" s="20"/>
    </row>
    <row r="67" spans="1:9" ht="12" customHeight="1" x14ac:dyDescent="0.15">
      <c r="A67" s="25"/>
      <c r="B67" s="9" t="s">
        <v>119</v>
      </c>
      <c r="C67" s="7"/>
      <c r="D67" s="4"/>
      <c r="E67" s="4"/>
      <c r="F67" s="7"/>
      <c r="G67" s="3"/>
      <c r="H67" s="2"/>
      <c r="I67" s="1"/>
    </row>
    <row r="68" spans="1:9" ht="12" customHeight="1" x14ac:dyDescent="0.15">
      <c r="A68" s="25"/>
      <c r="B68" s="34"/>
      <c r="C68" s="16"/>
      <c r="D68" s="19"/>
      <c r="E68" s="19"/>
      <c r="F68" s="16"/>
      <c r="G68" s="28"/>
      <c r="H68" s="62"/>
      <c r="I68" s="20"/>
    </row>
    <row r="69" spans="1:9" ht="22" customHeight="1" x14ac:dyDescent="0.15">
      <c r="B69" s="235" t="s">
        <v>45</v>
      </c>
      <c r="C69" s="168" t="s">
        <v>45</v>
      </c>
      <c r="D69" s="170" t="s">
        <v>46</v>
      </c>
      <c r="E69" s="170" t="s">
        <v>139</v>
      </c>
      <c r="F69" s="168" t="s">
        <v>120</v>
      </c>
      <c r="G69" s="262" t="s">
        <v>10</v>
      </c>
      <c r="H69" s="211" t="s">
        <v>144</v>
      </c>
      <c r="I69" s="201" t="s">
        <v>145</v>
      </c>
    </row>
    <row r="70" spans="1:9" ht="22" customHeight="1" x14ac:dyDescent="0.15">
      <c r="B70" s="235"/>
      <c r="C70" s="168"/>
      <c r="D70" s="171"/>
      <c r="E70" s="169"/>
      <c r="F70" s="169"/>
      <c r="G70" s="263"/>
      <c r="H70" s="212"/>
      <c r="I70" s="202"/>
    </row>
    <row r="71" spans="1:9" ht="22" customHeight="1" x14ac:dyDescent="0.15">
      <c r="B71" s="235"/>
      <c r="C71" s="168"/>
      <c r="D71" s="264" t="s">
        <v>47</v>
      </c>
      <c r="E71" s="188" t="s">
        <v>140</v>
      </c>
      <c r="F71" s="266" t="s">
        <v>120</v>
      </c>
      <c r="G71" s="268" t="s">
        <v>11</v>
      </c>
      <c r="H71" s="211" t="s">
        <v>144</v>
      </c>
      <c r="I71" s="201" t="s">
        <v>145</v>
      </c>
    </row>
    <row r="72" spans="1:9" ht="22" customHeight="1" x14ac:dyDescent="0.15">
      <c r="B72" s="235"/>
      <c r="C72" s="168"/>
      <c r="D72" s="265"/>
      <c r="E72" s="169"/>
      <c r="F72" s="267"/>
      <c r="G72" s="263"/>
      <c r="H72" s="212"/>
      <c r="I72" s="202"/>
    </row>
    <row r="73" spans="1:9" ht="22" customHeight="1" x14ac:dyDescent="0.15">
      <c r="B73" s="235"/>
      <c r="C73" s="245"/>
      <c r="D73" s="170" t="s">
        <v>164</v>
      </c>
      <c r="E73" s="170" t="s">
        <v>140</v>
      </c>
      <c r="F73" s="168" t="s">
        <v>120</v>
      </c>
      <c r="G73" s="226" t="s">
        <v>11</v>
      </c>
      <c r="H73" s="211" t="s">
        <v>144</v>
      </c>
      <c r="I73" s="201" t="s">
        <v>145</v>
      </c>
    </row>
    <row r="74" spans="1:9" ht="22" customHeight="1" x14ac:dyDescent="0.15">
      <c r="B74" s="235"/>
      <c r="C74" s="245"/>
      <c r="D74" s="170"/>
      <c r="E74" s="168"/>
      <c r="F74" s="168"/>
      <c r="G74" s="227"/>
      <c r="H74" s="212"/>
      <c r="I74" s="202"/>
    </row>
    <row r="75" spans="1:9" ht="13" customHeight="1" x14ac:dyDescent="0.15">
      <c r="A75" s="25"/>
      <c r="B75" s="34"/>
      <c r="C75" s="16"/>
      <c r="D75" s="19"/>
      <c r="E75" s="19"/>
      <c r="F75" s="16"/>
      <c r="G75" s="50"/>
      <c r="H75" s="63"/>
      <c r="I75" s="18"/>
    </row>
    <row r="76" spans="1:9" ht="12" customHeight="1" x14ac:dyDescent="0.15">
      <c r="A76" s="25"/>
      <c r="B76" s="9" t="s">
        <v>105</v>
      </c>
      <c r="C76" s="7"/>
      <c r="D76" s="4"/>
      <c r="E76" s="4"/>
      <c r="F76" s="7"/>
      <c r="G76" s="3"/>
      <c r="H76" s="2"/>
      <c r="I76" s="5"/>
    </row>
    <row r="77" spans="1:9" ht="13" customHeight="1" x14ac:dyDescent="0.15">
      <c r="A77" s="25"/>
      <c r="B77" s="34"/>
      <c r="C77" s="16"/>
      <c r="D77" s="19"/>
      <c r="E77" s="19"/>
      <c r="F77" s="16"/>
      <c r="G77" s="28"/>
      <c r="H77" s="62"/>
      <c r="I77" s="20"/>
    </row>
    <row r="78" spans="1:9" ht="20" customHeight="1" x14ac:dyDescent="0.15">
      <c r="A78" s="25"/>
      <c r="B78" s="269" t="s">
        <v>100</v>
      </c>
      <c r="C78" s="168" t="s">
        <v>15</v>
      </c>
      <c r="D78" s="270" t="s">
        <v>90</v>
      </c>
      <c r="E78" s="271" t="s">
        <v>97</v>
      </c>
      <c r="F78" s="41" t="s">
        <v>12</v>
      </c>
      <c r="G78" s="51">
        <v>10</v>
      </c>
      <c r="H78" s="64">
        <v>0</v>
      </c>
      <c r="I78" s="58">
        <f>(G78*H78)</f>
        <v>0</v>
      </c>
    </row>
    <row r="79" spans="1:9" ht="10" customHeight="1" x14ac:dyDescent="0.15">
      <c r="A79" s="25"/>
      <c r="B79" s="269"/>
      <c r="C79" s="168"/>
      <c r="D79" s="270"/>
      <c r="E79" s="271"/>
      <c r="F79" s="168" t="s">
        <v>152</v>
      </c>
      <c r="G79" s="174">
        <v>13</v>
      </c>
      <c r="H79" s="213">
        <v>0</v>
      </c>
      <c r="I79" s="200">
        <f>(G79*H79)</f>
        <v>0</v>
      </c>
    </row>
    <row r="80" spans="1:9" ht="10" customHeight="1" x14ac:dyDescent="0.15">
      <c r="A80" s="25"/>
      <c r="B80" s="269"/>
      <c r="C80" s="168"/>
      <c r="D80" s="270"/>
      <c r="E80" s="271"/>
      <c r="F80" s="223"/>
      <c r="G80" s="225"/>
      <c r="H80" s="177"/>
      <c r="I80" s="179"/>
    </row>
    <row r="81" spans="1:9" ht="10" customHeight="1" x14ac:dyDescent="0.15">
      <c r="A81" s="25"/>
      <c r="B81" s="269"/>
      <c r="C81" s="168"/>
      <c r="D81" s="270"/>
      <c r="E81" s="271"/>
      <c r="F81" s="180" t="s">
        <v>98</v>
      </c>
      <c r="G81" s="181">
        <v>16</v>
      </c>
      <c r="H81" s="182">
        <v>0</v>
      </c>
      <c r="I81" s="195">
        <f>(G81*H81)</f>
        <v>0</v>
      </c>
    </row>
    <row r="82" spans="1:9" ht="10" customHeight="1" x14ac:dyDescent="0.15">
      <c r="A82" s="25"/>
      <c r="B82" s="269"/>
      <c r="C82" s="168"/>
      <c r="D82" s="270"/>
      <c r="E82" s="271"/>
      <c r="F82" s="169"/>
      <c r="G82" s="175"/>
      <c r="H82" s="177"/>
      <c r="I82" s="179"/>
    </row>
    <row r="83" spans="1:9" s="15" customFormat="1" ht="10" customHeight="1" x14ac:dyDescent="0.15">
      <c r="A83" s="24"/>
      <c r="B83" s="269"/>
      <c r="C83" s="168"/>
      <c r="D83" s="270"/>
      <c r="E83" s="271"/>
      <c r="F83" s="180" t="s">
        <v>99</v>
      </c>
      <c r="G83" s="181">
        <v>60</v>
      </c>
      <c r="H83" s="182">
        <v>0</v>
      </c>
      <c r="I83" s="195">
        <f>(G83*H83)</f>
        <v>0</v>
      </c>
    </row>
    <row r="84" spans="1:9" ht="10" customHeight="1" x14ac:dyDescent="0.15">
      <c r="A84" s="25"/>
      <c r="B84" s="269"/>
      <c r="C84" s="169"/>
      <c r="D84" s="270"/>
      <c r="E84" s="272"/>
      <c r="F84" s="169"/>
      <c r="G84" s="175"/>
      <c r="H84" s="177"/>
      <c r="I84" s="179"/>
    </row>
    <row r="85" spans="1:9" ht="10" customHeight="1" x14ac:dyDescent="0.15">
      <c r="A85" s="25"/>
      <c r="B85" s="269"/>
      <c r="C85" s="180" t="s">
        <v>8</v>
      </c>
      <c r="D85" s="270"/>
      <c r="E85" s="188" t="s">
        <v>122</v>
      </c>
      <c r="F85" s="180" t="s">
        <v>153</v>
      </c>
      <c r="G85" s="181">
        <v>12</v>
      </c>
      <c r="H85" s="182">
        <v>0</v>
      </c>
      <c r="I85" s="195">
        <f>(G85*H85)</f>
        <v>0</v>
      </c>
    </row>
    <row r="86" spans="1:9" ht="15" customHeight="1" x14ac:dyDescent="0.15">
      <c r="A86" s="25"/>
      <c r="B86" s="269"/>
      <c r="C86" s="169"/>
      <c r="D86" s="270"/>
      <c r="E86" s="224"/>
      <c r="F86" s="223"/>
      <c r="G86" s="175"/>
      <c r="H86" s="177"/>
      <c r="I86" s="179"/>
    </row>
    <row r="87" spans="1:9" ht="15" customHeight="1" x14ac:dyDescent="0.15">
      <c r="A87" s="25"/>
      <c r="B87" s="269"/>
      <c r="C87" s="180" t="s">
        <v>91</v>
      </c>
      <c r="D87" s="270"/>
      <c r="E87" s="228" t="s">
        <v>92</v>
      </c>
      <c r="F87" s="180" t="s">
        <v>153</v>
      </c>
      <c r="G87" s="181">
        <v>12</v>
      </c>
      <c r="H87" s="182">
        <v>0</v>
      </c>
      <c r="I87" s="195">
        <f>(G87*H87)</f>
        <v>0</v>
      </c>
    </row>
    <row r="88" spans="1:9" ht="15" customHeight="1" x14ac:dyDescent="0.15">
      <c r="A88" s="25"/>
      <c r="B88" s="269"/>
      <c r="C88" s="169"/>
      <c r="D88" s="270"/>
      <c r="E88" s="224"/>
      <c r="F88" s="223"/>
      <c r="G88" s="175"/>
      <c r="H88" s="177"/>
      <c r="I88" s="179"/>
    </row>
    <row r="89" spans="1:9" ht="18" customHeight="1" x14ac:dyDescent="0.15">
      <c r="A89" s="25"/>
      <c r="B89" s="269"/>
      <c r="C89" s="180" t="s">
        <v>106</v>
      </c>
      <c r="D89" s="270"/>
      <c r="E89" s="220" t="s">
        <v>28</v>
      </c>
      <c r="F89" s="220" t="s">
        <v>141</v>
      </c>
      <c r="G89" s="181">
        <v>20</v>
      </c>
      <c r="H89" s="182">
        <v>0</v>
      </c>
      <c r="I89" s="195">
        <f>(G89*H89)</f>
        <v>0</v>
      </c>
    </row>
    <row r="90" spans="1:9" ht="15" customHeight="1" x14ac:dyDescent="0.15">
      <c r="A90" s="25"/>
      <c r="B90" s="269"/>
      <c r="C90" s="169"/>
      <c r="D90" s="270"/>
      <c r="E90" s="244"/>
      <c r="F90" s="221"/>
      <c r="G90" s="174"/>
      <c r="H90" s="177"/>
      <c r="I90" s="179"/>
    </row>
    <row r="91" spans="1:9" s="15" customFormat="1" ht="25" customHeight="1" x14ac:dyDescent="0.15">
      <c r="A91" s="24"/>
      <c r="B91" s="269"/>
      <c r="C91" s="180" t="s">
        <v>142</v>
      </c>
      <c r="D91" s="270"/>
      <c r="E91" s="188" t="s">
        <v>79</v>
      </c>
      <c r="F91" s="74" t="s">
        <v>153</v>
      </c>
      <c r="G91" s="52">
        <v>12</v>
      </c>
      <c r="H91" s="65">
        <v>0</v>
      </c>
      <c r="I91" s="59">
        <f>(G91*H91)</f>
        <v>0</v>
      </c>
    </row>
    <row r="92" spans="1:9" s="15" customFormat="1" ht="24" customHeight="1" x14ac:dyDescent="0.15">
      <c r="A92" s="24"/>
      <c r="B92" s="269"/>
      <c r="C92" s="168"/>
      <c r="D92" s="270"/>
      <c r="E92" s="170"/>
      <c r="F92" s="77" t="s">
        <v>160</v>
      </c>
      <c r="G92" s="53">
        <v>35</v>
      </c>
      <c r="H92" s="66">
        <v>0</v>
      </c>
      <c r="I92" s="60">
        <f>(G92*H92)</f>
        <v>0</v>
      </c>
    </row>
    <row r="93" spans="1:9" s="15" customFormat="1" ht="12" customHeight="1" x14ac:dyDescent="0.15">
      <c r="A93" s="24"/>
      <c r="B93" s="34"/>
      <c r="C93" s="16"/>
      <c r="D93" s="19"/>
      <c r="E93" s="19"/>
      <c r="F93" s="17"/>
      <c r="G93" s="28"/>
      <c r="H93" s="63"/>
      <c r="I93" s="20"/>
    </row>
    <row r="94" spans="1:9" s="15" customFormat="1" ht="22" customHeight="1" x14ac:dyDescent="0.15">
      <c r="A94" s="24"/>
      <c r="B94" s="9" t="s">
        <v>131</v>
      </c>
      <c r="C94" s="7"/>
      <c r="D94" s="4"/>
      <c r="E94" s="4"/>
      <c r="F94" s="7"/>
      <c r="G94" s="79"/>
      <c r="H94" s="2"/>
      <c r="I94" s="5"/>
    </row>
    <row r="95" spans="1:9" s="15" customFormat="1" ht="12" customHeight="1" x14ac:dyDescent="0.15">
      <c r="A95" s="24"/>
      <c r="B95" s="34"/>
      <c r="C95" s="16"/>
      <c r="D95" s="19"/>
      <c r="E95" s="121"/>
      <c r="F95" s="17"/>
      <c r="G95" s="28"/>
      <c r="H95" s="62"/>
      <c r="I95" s="20"/>
    </row>
    <row r="96" spans="1:9" s="120" customFormat="1" ht="12" customHeight="1" x14ac:dyDescent="0.15">
      <c r="A96" s="119"/>
      <c r="B96" s="235" t="s">
        <v>67</v>
      </c>
      <c r="C96" s="168" t="s">
        <v>101</v>
      </c>
      <c r="D96" s="170" t="s">
        <v>66</v>
      </c>
      <c r="E96" s="283" t="s">
        <v>102</v>
      </c>
      <c r="F96" s="180" t="s">
        <v>178</v>
      </c>
      <c r="G96" s="162">
        <v>10</v>
      </c>
      <c r="H96" s="164">
        <v>0</v>
      </c>
      <c r="I96" s="166">
        <f>(G96*H96)</f>
        <v>0</v>
      </c>
    </row>
    <row r="97" spans="1:9" s="120" customFormat="1" ht="12" customHeight="1" x14ac:dyDescent="0.15">
      <c r="A97" s="119"/>
      <c r="B97" s="235"/>
      <c r="C97" s="168"/>
      <c r="D97" s="170"/>
      <c r="E97" s="284"/>
      <c r="F97" s="169"/>
      <c r="G97" s="163"/>
      <c r="H97" s="165"/>
      <c r="I97" s="159"/>
    </row>
    <row r="98" spans="1:9" ht="10" customHeight="1" x14ac:dyDescent="0.15">
      <c r="B98" s="235"/>
      <c r="C98" s="168"/>
      <c r="D98" s="170"/>
      <c r="E98" s="283" t="s">
        <v>102</v>
      </c>
      <c r="F98" s="190" t="s">
        <v>103</v>
      </c>
      <c r="G98" s="193">
        <v>18</v>
      </c>
      <c r="H98" s="219">
        <v>0</v>
      </c>
      <c r="I98" s="158">
        <f>(G98*H98)</f>
        <v>0</v>
      </c>
    </row>
    <row r="99" spans="1:9" ht="15" customHeight="1" x14ac:dyDescent="0.15">
      <c r="B99" s="235"/>
      <c r="C99" s="168"/>
      <c r="D99" s="170"/>
      <c r="E99" s="284"/>
      <c r="F99" s="161"/>
      <c r="G99" s="163"/>
      <c r="H99" s="165"/>
      <c r="I99" s="159"/>
    </row>
    <row r="100" spans="1:9" ht="15" customHeight="1" x14ac:dyDescent="0.15">
      <c r="B100" s="235"/>
      <c r="C100" s="168"/>
      <c r="D100" s="170"/>
      <c r="E100" s="184" t="s">
        <v>20</v>
      </c>
      <c r="F100" s="180" t="s">
        <v>178</v>
      </c>
      <c r="G100" s="162">
        <v>10</v>
      </c>
      <c r="H100" s="164">
        <v>0</v>
      </c>
      <c r="I100" s="166">
        <f>(G100*H100)</f>
        <v>0</v>
      </c>
    </row>
    <row r="101" spans="1:9" ht="15" customHeight="1" x14ac:dyDescent="0.15">
      <c r="B101" s="235"/>
      <c r="C101" s="168"/>
      <c r="D101" s="170"/>
      <c r="E101" s="185"/>
      <c r="F101" s="168"/>
      <c r="G101" s="163"/>
      <c r="H101" s="165"/>
      <c r="I101" s="159"/>
    </row>
    <row r="102" spans="1:9" ht="15" customHeight="1" x14ac:dyDescent="0.15">
      <c r="B102" s="235"/>
      <c r="C102" s="168"/>
      <c r="D102" s="170"/>
      <c r="E102" s="184" t="s">
        <v>20</v>
      </c>
      <c r="F102" s="160" t="s">
        <v>103</v>
      </c>
      <c r="G102" s="162">
        <v>18</v>
      </c>
      <c r="H102" s="164">
        <v>0</v>
      </c>
      <c r="I102" s="166">
        <f>(G102*H102)</f>
        <v>0</v>
      </c>
    </row>
    <row r="103" spans="1:9" ht="15" customHeight="1" x14ac:dyDescent="0.15">
      <c r="B103" s="235"/>
      <c r="C103" s="168"/>
      <c r="D103" s="170"/>
      <c r="E103" s="185"/>
      <c r="F103" s="161"/>
      <c r="G103" s="163"/>
      <c r="H103" s="165"/>
      <c r="I103" s="159"/>
    </row>
    <row r="104" spans="1:9" ht="15" customHeight="1" x14ac:dyDescent="0.15">
      <c r="B104" s="235"/>
      <c r="C104" s="168"/>
      <c r="D104" s="170"/>
      <c r="E104" s="186" t="s">
        <v>13</v>
      </c>
      <c r="F104" s="180" t="s">
        <v>178</v>
      </c>
      <c r="G104" s="162">
        <v>10</v>
      </c>
      <c r="H104" s="164">
        <v>0</v>
      </c>
      <c r="I104" s="166">
        <f>(G104*H104)</f>
        <v>0</v>
      </c>
    </row>
    <row r="105" spans="1:9" ht="15" customHeight="1" x14ac:dyDescent="0.15">
      <c r="B105" s="235"/>
      <c r="C105" s="168"/>
      <c r="D105" s="170"/>
      <c r="E105" s="187"/>
      <c r="F105" s="168"/>
      <c r="G105" s="163"/>
      <c r="H105" s="165"/>
      <c r="I105" s="159"/>
    </row>
    <row r="106" spans="1:9" ht="15" customHeight="1" x14ac:dyDescent="0.15">
      <c r="B106" s="235"/>
      <c r="C106" s="168"/>
      <c r="D106" s="170"/>
      <c r="E106" s="186" t="s">
        <v>13</v>
      </c>
      <c r="F106" s="160" t="s">
        <v>103</v>
      </c>
      <c r="G106" s="162">
        <v>18</v>
      </c>
      <c r="H106" s="164">
        <v>0</v>
      </c>
      <c r="I106" s="166">
        <f>(G106*H106)</f>
        <v>0</v>
      </c>
    </row>
    <row r="107" spans="1:9" ht="15" customHeight="1" x14ac:dyDescent="0.15">
      <c r="B107" s="235"/>
      <c r="C107" s="168"/>
      <c r="D107" s="171"/>
      <c r="E107" s="187"/>
      <c r="F107" s="161"/>
      <c r="G107" s="163"/>
      <c r="H107" s="165"/>
      <c r="I107" s="159"/>
    </row>
    <row r="108" spans="1:9" ht="15" customHeight="1" x14ac:dyDescent="0.15">
      <c r="B108" s="235"/>
      <c r="C108" s="168"/>
      <c r="D108" s="274" t="s">
        <v>62</v>
      </c>
      <c r="E108" s="188" t="s">
        <v>61</v>
      </c>
      <c r="F108" s="180" t="s">
        <v>178</v>
      </c>
      <c r="G108" s="162">
        <v>10</v>
      </c>
      <c r="H108" s="164">
        <v>0</v>
      </c>
      <c r="I108" s="166">
        <f>(G108*H108)</f>
        <v>0</v>
      </c>
    </row>
    <row r="109" spans="1:9" ht="15" customHeight="1" x14ac:dyDescent="0.15">
      <c r="B109" s="235"/>
      <c r="C109" s="168"/>
      <c r="D109" s="270"/>
      <c r="E109" s="170"/>
      <c r="F109" s="168"/>
      <c r="G109" s="163"/>
      <c r="H109" s="165"/>
      <c r="I109" s="159"/>
    </row>
    <row r="110" spans="1:9" s="15" customFormat="1" ht="15" customHeight="1" x14ac:dyDescent="0.15">
      <c r="B110" s="235"/>
      <c r="C110" s="168"/>
      <c r="D110" s="270"/>
      <c r="E110" s="188" t="s">
        <v>61</v>
      </c>
      <c r="F110" s="180" t="s">
        <v>104</v>
      </c>
      <c r="G110" s="181">
        <v>20</v>
      </c>
      <c r="H110" s="182">
        <v>0</v>
      </c>
      <c r="I110" s="195">
        <f>(G110*H110)</f>
        <v>0</v>
      </c>
    </row>
    <row r="111" spans="1:9" s="15" customFormat="1" ht="15" customHeight="1" x14ac:dyDescent="0.15">
      <c r="B111" s="235"/>
      <c r="C111" s="168"/>
      <c r="D111" s="270"/>
      <c r="E111" s="170"/>
      <c r="F111" s="168"/>
      <c r="G111" s="273"/>
      <c r="H111" s="176"/>
      <c r="I111" s="178"/>
    </row>
    <row r="112" spans="1:9" s="15" customFormat="1" ht="16" customHeight="1" x14ac:dyDescent="0.15">
      <c r="A112" s="24"/>
      <c r="B112" s="30"/>
      <c r="C112" s="28"/>
      <c r="D112" s="31"/>
      <c r="E112" s="31"/>
      <c r="F112" s="28"/>
      <c r="G112" s="27"/>
      <c r="H112" s="62"/>
      <c r="I112" s="29"/>
    </row>
    <row r="113" spans="1:9" s="15" customFormat="1" ht="22" customHeight="1" x14ac:dyDescent="0.15">
      <c r="B113" s="235" t="s">
        <v>68</v>
      </c>
      <c r="C113" s="168" t="s">
        <v>69</v>
      </c>
      <c r="D113" s="277" t="s">
        <v>70</v>
      </c>
      <c r="E113" s="128" t="s">
        <v>71</v>
      </c>
      <c r="F113" s="129" t="s">
        <v>161</v>
      </c>
      <c r="G113" s="130">
        <v>12</v>
      </c>
      <c r="H113" s="131">
        <v>0</v>
      </c>
      <c r="I113" s="132">
        <f t="shared" ref="I113:I123" si="1">(G113*H113)</f>
        <v>0</v>
      </c>
    </row>
    <row r="114" spans="1:9" s="15" customFormat="1" ht="22" customHeight="1" x14ac:dyDescent="0.15">
      <c r="B114" s="236"/>
      <c r="C114" s="246"/>
      <c r="D114" s="278"/>
      <c r="E114" s="222" t="s">
        <v>72</v>
      </c>
      <c r="F114" s="145" t="s">
        <v>161</v>
      </c>
      <c r="G114" s="112">
        <v>12</v>
      </c>
      <c r="H114" s="152">
        <v>0</v>
      </c>
      <c r="I114" s="144">
        <f t="shared" ref="I114" si="2">(G114*H114)</f>
        <v>0</v>
      </c>
    </row>
    <row r="115" spans="1:9" s="15" customFormat="1" ht="22" customHeight="1" x14ac:dyDescent="0.15">
      <c r="B115" s="236"/>
      <c r="C115" s="246"/>
      <c r="D115" s="278"/>
      <c r="E115" s="192"/>
      <c r="F115" s="95" t="s">
        <v>48</v>
      </c>
      <c r="G115" s="116">
        <v>20</v>
      </c>
      <c r="H115" s="117">
        <v>0</v>
      </c>
      <c r="I115" s="118">
        <f t="shared" si="1"/>
        <v>0</v>
      </c>
    </row>
    <row r="116" spans="1:9" s="15" customFormat="1" ht="23" customHeight="1" x14ac:dyDescent="0.15">
      <c r="B116" s="236"/>
      <c r="C116" s="246"/>
      <c r="D116" s="279"/>
      <c r="E116" s="128" t="s">
        <v>73</v>
      </c>
      <c r="F116" s="111" t="s">
        <v>161</v>
      </c>
      <c r="G116" s="127">
        <v>12</v>
      </c>
      <c r="H116" s="113">
        <v>0</v>
      </c>
      <c r="I116" s="133">
        <f t="shared" si="1"/>
        <v>0</v>
      </c>
    </row>
    <row r="117" spans="1:9" s="15" customFormat="1" ht="23" customHeight="1" x14ac:dyDescent="0.15">
      <c r="B117" s="236"/>
      <c r="C117" s="246"/>
      <c r="D117" s="279"/>
      <c r="E117" s="134" t="s">
        <v>23</v>
      </c>
      <c r="F117" s="135" t="s">
        <v>161</v>
      </c>
      <c r="G117" s="112">
        <v>12</v>
      </c>
      <c r="H117" s="113">
        <v>0</v>
      </c>
      <c r="I117" s="114">
        <f t="shared" si="1"/>
        <v>0</v>
      </c>
    </row>
    <row r="118" spans="1:9" s="15" customFormat="1" ht="23" customHeight="1" x14ac:dyDescent="0.15">
      <c r="B118" s="236"/>
      <c r="C118" s="246"/>
      <c r="D118" s="279"/>
      <c r="E118" s="281" t="s">
        <v>165</v>
      </c>
      <c r="F118" s="145" t="s">
        <v>161</v>
      </c>
      <c r="G118" s="112">
        <v>12</v>
      </c>
      <c r="H118" s="152">
        <v>0</v>
      </c>
      <c r="I118" s="144">
        <f t="shared" si="1"/>
        <v>0</v>
      </c>
    </row>
    <row r="119" spans="1:9" s="15" customFormat="1" ht="23" customHeight="1" x14ac:dyDescent="0.15">
      <c r="B119" s="236"/>
      <c r="C119" s="246"/>
      <c r="D119" s="280"/>
      <c r="E119" s="282"/>
      <c r="F119" s="115" t="s">
        <v>104</v>
      </c>
      <c r="G119" s="116">
        <v>20</v>
      </c>
      <c r="H119" s="94">
        <v>0</v>
      </c>
      <c r="I119" s="93">
        <f t="shared" si="1"/>
        <v>0</v>
      </c>
    </row>
    <row r="120" spans="1:9" s="15" customFormat="1" ht="27" customHeight="1" x14ac:dyDescent="0.15">
      <c r="B120" s="236"/>
      <c r="C120" s="246"/>
      <c r="D120" s="96" t="s">
        <v>112</v>
      </c>
      <c r="E120" s="102" t="s">
        <v>82</v>
      </c>
      <c r="F120" s="115" t="s">
        <v>49</v>
      </c>
      <c r="G120" s="116">
        <v>14</v>
      </c>
      <c r="H120" s="94">
        <v>0</v>
      </c>
      <c r="I120" s="93">
        <f t="shared" si="1"/>
        <v>0</v>
      </c>
    </row>
    <row r="121" spans="1:9" s="15" customFormat="1" ht="23" customHeight="1" x14ac:dyDescent="0.15">
      <c r="B121" s="236"/>
      <c r="C121" s="246"/>
      <c r="D121" s="136" t="s">
        <v>22</v>
      </c>
      <c r="E121" s="136" t="s">
        <v>21</v>
      </c>
      <c r="F121" s="137" t="s">
        <v>74</v>
      </c>
      <c r="G121" s="138">
        <v>14</v>
      </c>
      <c r="H121" s="124">
        <v>0</v>
      </c>
      <c r="I121" s="139">
        <f t="shared" si="1"/>
        <v>0</v>
      </c>
    </row>
    <row r="122" spans="1:9" s="15" customFormat="1" ht="55" customHeight="1" x14ac:dyDescent="0.15">
      <c r="B122" s="275"/>
      <c r="C122" s="276"/>
      <c r="D122" s="78" t="s">
        <v>123</v>
      </c>
      <c r="E122" s="88" t="s">
        <v>116</v>
      </c>
      <c r="F122" s="89" t="s">
        <v>75</v>
      </c>
      <c r="G122" s="90">
        <v>18</v>
      </c>
      <c r="H122" s="91">
        <v>0</v>
      </c>
      <c r="I122" s="92">
        <f t="shared" si="1"/>
        <v>0</v>
      </c>
    </row>
    <row r="123" spans="1:9" s="15" customFormat="1" ht="28" customHeight="1" x14ac:dyDescent="0.15">
      <c r="B123" s="75" t="s">
        <v>113</v>
      </c>
      <c r="C123" s="84" t="s">
        <v>114</v>
      </c>
      <c r="D123" s="140" t="s">
        <v>117</v>
      </c>
      <c r="E123" s="140" t="s">
        <v>115</v>
      </c>
      <c r="F123" s="128" t="s">
        <v>118</v>
      </c>
      <c r="G123" s="141">
        <v>10</v>
      </c>
      <c r="H123" s="142">
        <v>0</v>
      </c>
      <c r="I123" s="125">
        <f t="shared" si="1"/>
        <v>0</v>
      </c>
    </row>
    <row r="124" spans="1:9" s="15" customFormat="1" ht="12" customHeight="1" x14ac:dyDescent="0.15">
      <c r="A124" s="24"/>
      <c r="B124" s="34"/>
      <c r="C124" s="16"/>
      <c r="D124" s="19"/>
      <c r="E124" s="19"/>
      <c r="F124" s="17"/>
      <c r="G124" s="28"/>
      <c r="H124" s="63"/>
      <c r="I124" s="20"/>
    </row>
    <row r="125" spans="1:9" s="15" customFormat="1" ht="12" customHeight="1" x14ac:dyDescent="0.15">
      <c r="A125" s="24"/>
      <c r="B125" s="9" t="s">
        <v>166</v>
      </c>
      <c r="C125" s="7"/>
      <c r="D125" s="4"/>
      <c r="E125" s="4"/>
      <c r="F125" s="7"/>
      <c r="G125" s="3"/>
      <c r="H125" s="2"/>
      <c r="I125" s="1"/>
    </row>
    <row r="126" spans="1:9" s="15" customFormat="1" ht="12" customHeight="1" x14ac:dyDescent="0.15">
      <c r="A126" s="24"/>
      <c r="B126" s="34"/>
      <c r="C126" s="16"/>
      <c r="D126" s="19"/>
      <c r="E126" s="19"/>
      <c r="F126" s="17"/>
      <c r="G126" s="28"/>
      <c r="H126" s="62"/>
      <c r="I126" s="20"/>
    </row>
    <row r="127" spans="1:9" s="15" customFormat="1" ht="30" customHeight="1" x14ac:dyDescent="0.15">
      <c r="A127" s="24"/>
      <c r="B127" s="75" t="s">
        <v>24</v>
      </c>
      <c r="C127" s="72" t="s">
        <v>25</v>
      </c>
      <c r="D127" s="77" t="s">
        <v>76</v>
      </c>
      <c r="E127" s="42" t="s">
        <v>77</v>
      </c>
      <c r="F127" s="76" t="s">
        <v>9</v>
      </c>
      <c r="G127" s="71">
        <v>6</v>
      </c>
      <c r="H127" s="70">
        <v>0</v>
      </c>
      <c r="I127" s="69">
        <f>(G127*H127)</f>
        <v>0</v>
      </c>
    </row>
    <row r="128" spans="1:9" s="15" customFormat="1" ht="12" customHeight="1" x14ac:dyDescent="0.15">
      <c r="A128" s="24"/>
      <c r="B128" s="34"/>
      <c r="C128" s="16"/>
      <c r="D128" s="19"/>
      <c r="E128" s="19"/>
      <c r="F128" s="17"/>
      <c r="G128" s="28"/>
      <c r="H128" s="63"/>
      <c r="I128" s="20"/>
    </row>
    <row r="129" spans="1:9" s="15" customFormat="1" ht="35" customHeight="1" x14ac:dyDescent="0.15">
      <c r="A129" s="24"/>
      <c r="B129" s="9" t="s">
        <v>35</v>
      </c>
      <c r="C129" s="7"/>
      <c r="D129" s="4"/>
      <c r="E129" s="4"/>
      <c r="F129" s="8"/>
      <c r="G129" s="3"/>
      <c r="H129" s="2"/>
      <c r="I129" s="1"/>
    </row>
    <row r="130" spans="1:9" s="15" customFormat="1" ht="12" customHeight="1" x14ac:dyDescent="0.15">
      <c r="A130" s="24"/>
      <c r="B130" s="34"/>
      <c r="C130" s="16"/>
      <c r="D130" s="19"/>
      <c r="E130" s="19"/>
      <c r="F130" s="17"/>
      <c r="G130" s="28"/>
      <c r="H130" s="62"/>
      <c r="I130" s="20"/>
    </row>
    <row r="131" spans="1:9" s="15" customFormat="1" ht="22" customHeight="1" x14ac:dyDescent="0.15">
      <c r="B131" s="285" t="s">
        <v>95</v>
      </c>
      <c r="C131" s="286" t="s">
        <v>96</v>
      </c>
      <c r="D131" s="287" t="s">
        <v>151</v>
      </c>
      <c r="E131" s="289" t="s">
        <v>107</v>
      </c>
      <c r="F131" s="287" t="s">
        <v>50</v>
      </c>
      <c r="G131" s="291">
        <v>10</v>
      </c>
      <c r="H131" s="293">
        <v>0</v>
      </c>
      <c r="I131" s="209">
        <f>(G131*H131)</f>
        <v>0</v>
      </c>
    </row>
    <row r="132" spans="1:9" s="15" customFormat="1" ht="22" customHeight="1" x14ac:dyDescent="0.15">
      <c r="B132" s="285"/>
      <c r="C132" s="286"/>
      <c r="D132" s="288"/>
      <c r="E132" s="290"/>
      <c r="F132" s="288"/>
      <c r="G132" s="292"/>
      <c r="H132" s="294"/>
      <c r="I132" s="210"/>
    </row>
    <row r="133" spans="1:9" s="15" customFormat="1" ht="22" customHeight="1" x14ac:dyDescent="0.15">
      <c r="B133" s="285"/>
      <c r="C133" s="286"/>
      <c r="D133" s="287" t="s">
        <v>176</v>
      </c>
      <c r="E133" s="289" t="s">
        <v>107</v>
      </c>
      <c r="F133" s="287" t="s">
        <v>50</v>
      </c>
      <c r="G133" s="291">
        <v>9</v>
      </c>
      <c r="H133" s="293">
        <v>0</v>
      </c>
      <c r="I133" s="209">
        <f>(G133*H133)</f>
        <v>0</v>
      </c>
    </row>
    <row r="134" spans="1:9" s="15" customFormat="1" ht="22" customHeight="1" x14ac:dyDescent="0.15">
      <c r="B134" s="285"/>
      <c r="C134" s="286"/>
      <c r="D134" s="288"/>
      <c r="E134" s="290"/>
      <c r="F134" s="288"/>
      <c r="G134" s="292"/>
      <c r="H134" s="294"/>
      <c r="I134" s="210"/>
    </row>
    <row r="135" spans="1:9" s="15" customFormat="1" ht="22" customHeight="1" x14ac:dyDescent="0.15">
      <c r="B135" s="285"/>
      <c r="C135" s="286"/>
      <c r="D135" s="295" t="s">
        <v>133</v>
      </c>
      <c r="E135" s="297" t="s">
        <v>107</v>
      </c>
      <c r="F135" s="295" t="s">
        <v>51</v>
      </c>
      <c r="G135" s="299">
        <v>8</v>
      </c>
      <c r="H135" s="303">
        <v>0</v>
      </c>
      <c r="I135" s="208">
        <f>(G135*H135)</f>
        <v>0</v>
      </c>
    </row>
    <row r="136" spans="1:9" s="15" customFormat="1" ht="22" customHeight="1" x14ac:dyDescent="0.15">
      <c r="B136" s="285"/>
      <c r="C136" s="286"/>
      <c r="D136" s="296"/>
      <c r="E136" s="298"/>
      <c r="F136" s="296"/>
      <c r="G136" s="300"/>
      <c r="H136" s="294"/>
      <c r="I136" s="210"/>
    </row>
    <row r="137" spans="1:9" s="15" customFormat="1" ht="22" customHeight="1" x14ac:dyDescent="0.15">
      <c r="B137" s="285"/>
      <c r="C137" s="286"/>
      <c r="D137" s="295" t="s">
        <v>52</v>
      </c>
      <c r="E137" s="297" t="s">
        <v>107</v>
      </c>
      <c r="F137" s="295" t="s">
        <v>53</v>
      </c>
      <c r="G137" s="299">
        <v>8</v>
      </c>
      <c r="H137" s="303">
        <v>0</v>
      </c>
      <c r="I137" s="208">
        <f>(G137*H137)</f>
        <v>0</v>
      </c>
    </row>
    <row r="138" spans="1:9" s="15" customFormat="1" ht="22" customHeight="1" x14ac:dyDescent="0.15">
      <c r="B138" s="285"/>
      <c r="C138" s="286"/>
      <c r="D138" s="301"/>
      <c r="E138" s="302"/>
      <c r="F138" s="301"/>
      <c r="G138" s="291"/>
      <c r="H138" s="293"/>
      <c r="I138" s="209"/>
    </row>
    <row r="139" spans="1:9" s="15" customFormat="1" ht="12" customHeight="1" x14ac:dyDescent="0.15">
      <c r="A139" s="24"/>
      <c r="B139" s="34"/>
      <c r="C139" s="16"/>
      <c r="D139" s="19"/>
      <c r="E139" s="19"/>
      <c r="F139" s="17"/>
      <c r="G139" s="28"/>
      <c r="H139" s="63"/>
      <c r="I139" s="20"/>
    </row>
    <row r="140" spans="1:9" ht="30" customHeight="1" x14ac:dyDescent="0.15">
      <c r="A140" s="25"/>
      <c r="B140" s="9" t="s">
        <v>18</v>
      </c>
      <c r="C140" s="7"/>
      <c r="D140" s="4"/>
      <c r="E140" s="4"/>
      <c r="F140" s="8"/>
      <c r="G140" s="3"/>
      <c r="H140" s="2"/>
      <c r="I140" s="1"/>
    </row>
    <row r="141" spans="1:9" s="15" customFormat="1" ht="12" customHeight="1" x14ac:dyDescent="0.15">
      <c r="A141" s="24"/>
      <c r="B141" s="34"/>
      <c r="C141" s="16"/>
      <c r="D141" s="19"/>
      <c r="E141" s="19"/>
      <c r="F141" s="17"/>
      <c r="G141" s="28"/>
      <c r="H141" s="62"/>
      <c r="I141" s="20"/>
    </row>
    <row r="142" spans="1:9" s="15" customFormat="1" ht="40" customHeight="1" x14ac:dyDescent="0.15">
      <c r="B142" s="35" t="s">
        <v>162</v>
      </c>
      <c r="C142" s="78" t="s">
        <v>54</v>
      </c>
      <c r="D142" s="43" t="s">
        <v>163</v>
      </c>
      <c r="E142" s="40" t="s">
        <v>14</v>
      </c>
      <c r="F142" s="39" t="s">
        <v>19</v>
      </c>
      <c r="G142" s="54">
        <v>10</v>
      </c>
      <c r="H142" s="81">
        <v>0</v>
      </c>
      <c r="I142" s="82">
        <f>(G142*H142)</f>
        <v>0</v>
      </c>
    </row>
    <row r="143" spans="1:9" ht="25" customHeight="1" x14ac:dyDescent="0.15">
      <c r="B143" s="194" t="s">
        <v>26</v>
      </c>
      <c r="C143" s="32" t="s">
        <v>15</v>
      </c>
      <c r="D143" s="32" t="s">
        <v>16</v>
      </c>
      <c r="E143" s="38" t="s">
        <v>169</v>
      </c>
      <c r="F143" s="33" t="s">
        <v>17</v>
      </c>
      <c r="G143" s="55">
        <v>4</v>
      </c>
      <c r="H143" s="68">
        <v>0</v>
      </c>
      <c r="I143" s="61">
        <f>(G143*H143)</f>
        <v>0</v>
      </c>
    </row>
    <row r="144" spans="1:9" ht="28" customHeight="1" x14ac:dyDescent="0.15">
      <c r="B144" s="183"/>
      <c r="C144" s="153" t="s">
        <v>132</v>
      </c>
      <c r="D144" s="153" t="s">
        <v>36</v>
      </c>
      <c r="E144" s="154" t="s">
        <v>170</v>
      </c>
      <c r="F144" s="97" t="s">
        <v>17</v>
      </c>
      <c r="G144" s="155">
        <v>5</v>
      </c>
      <c r="H144" s="100">
        <v>0</v>
      </c>
      <c r="I144" s="101">
        <f>(G144*H144)</f>
        <v>0</v>
      </c>
    </row>
    <row r="145" spans="1:9" ht="14" customHeight="1" x14ac:dyDescent="0.15">
      <c r="B145" s="183"/>
      <c r="C145" s="305" t="s">
        <v>167</v>
      </c>
      <c r="D145" s="305" t="s">
        <v>168</v>
      </c>
      <c r="E145" s="305" t="s">
        <v>171</v>
      </c>
      <c r="F145" s="307" t="s">
        <v>17</v>
      </c>
      <c r="G145" s="309">
        <v>4</v>
      </c>
      <c r="H145" s="204">
        <v>0</v>
      </c>
      <c r="I145" s="206">
        <f>(G145*H145)</f>
        <v>0</v>
      </c>
    </row>
    <row r="146" spans="1:9" ht="14" customHeight="1" x14ac:dyDescent="0.15">
      <c r="B146" s="304"/>
      <c r="C146" s="277"/>
      <c r="D146" s="306"/>
      <c r="E146" s="306"/>
      <c r="F146" s="308"/>
      <c r="G146" s="310"/>
      <c r="H146" s="205"/>
      <c r="I146" s="207"/>
    </row>
    <row r="147" spans="1:9" ht="28" customHeight="1" x14ac:dyDescent="0.15">
      <c r="B147" s="311" t="s">
        <v>24</v>
      </c>
      <c r="C147" s="188" t="s">
        <v>25</v>
      </c>
      <c r="D147" s="107" t="s">
        <v>172</v>
      </c>
      <c r="E147" s="106" t="s">
        <v>143</v>
      </c>
      <c r="F147" s="107" t="s">
        <v>173</v>
      </c>
      <c r="G147" s="108">
        <v>6</v>
      </c>
      <c r="H147" s="109">
        <v>0</v>
      </c>
      <c r="I147" s="143">
        <f t="shared" ref="I147:I152" si="3">(G147*H147)</f>
        <v>0</v>
      </c>
    </row>
    <row r="148" spans="1:9" ht="28" customHeight="1" x14ac:dyDescent="0.15">
      <c r="B148" s="235"/>
      <c r="C148" s="170"/>
      <c r="D148" s="33" t="s">
        <v>85</v>
      </c>
      <c r="E148" s="85" t="s">
        <v>87</v>
      </c>
      <c r="F148" s="33" t="s">
        <v>88</v>
      </c>
      <c r="G148" s="56">
        <v>5</v>
      </c>
      <c r="H148" s="68">
        <v>0</v>
      </c>
      <c r="I148" s="61">
        <f t="shared" si="3"/>
        <v>0</v>
      </c>
    </row>
    <row r="149" spans="1:9" ht="28" customHeight="1" x14ac:dyDescent="0.15">
      <c r="B149" s="235"/>
      <c r="C149" s="170"/>
      <c r="D149" s="33" t="s">
        <v>86</v>
      </c>
      <c r="E149" s="85" t="s">
        <v>89</v>
      </c>
      <c r="F149" s="33" t="s">
        <v>88</v>
      </c>
      <c r="G149" s="56">
        <v>5</v>
      </c>
      <c r="H149" s="68">
        <v>0</v>
      </c>
      <c r="I149" s="61">
        <f t="shared" si="3"/>
        <v>0</v>
      </c>
    </row>
    <row r="150" spans="1:9" ht="28" customHeight="1" x14ac:dyDescent="0.15">
      <c r="B150" s="312"/>
      <c r="C150" s="171"/>
      <c r="D150" s="85" t="s">
        <v>84</v>
      </c>
      <c r="E150" s="74" t="s">
        <v>174</v>
      </c>
      <c r="F150" s="74" t="s">
        <v>175</v>
      </c>
      <c r="G150" s="55">
        <v>4</v>
      </c>
      <c r="H150" s="68">
        <v>0</v>
      </c>
      <c r="I150" s="61">
        <f t="shared" si="3"/>
        <v>0</v>
      </c>
    </row>
    <row r="151" spans="1:9" ht="27" customHeight="1" x14ac:dyDescent="0.15">
      <c r="B151" s="194" t="s">
        <v>63</v>
      </c>
      <c r="C151" s="188" t="s">
        <v>55</v>
      </c>
      <c r="D151" s="305" t="s">
        <v>64</v>
      </c>
      <c r="E151" s="97" t="s">
        <v>0</v>
      </c>
      <c r="F151" s="98" t="s">
        <v>65</v>
      </c>
      <c r="G151" s="99">
        <v>6</v>
      </c>
      <c r="H151" s="100">
        <v>0</v>
      </c>
      <c r="I151" s="101">
        <f t="shared" si="3"/>
        <v>0</v>
      </c>
    </row>
    <row r="152" spans="1:9" ht="27" customHeight="1" x14ac:dyDescent="0.15">
      <c r="B152" s="304"/>
      <c r="C152" s="171"/>
      <c r="D152" s="306"/>
      <c r="E152" s="96" t="s">
        <v>1</v>
      </c>
      <c r="F152" s="102" t="s">
        <v>65</v>
      </c>
      <c r="G152" s="103">
        <v>6</v>
      </c>
      <c r="H152" s="104">
        <v>0</v>
      </c>
      <c r="I152" s="105">
        <f t="shared" si="3"/>
        <v>0</v>
      </c>
    </row>
    <row r="153" spans="1:9" ht="27" customHeight="1" x14ac:dyDescent="0.15">
      <c r="B153" s="194" t="s">
        <v>32</v>
      </c>
      <c r="C153" s="122" t="s">
        <v>31</v>
      </c>
      <c r="D153" s="106" t="s">
        <v>33</v>
      </c>
      <c r="E153" s="106" t="s">
        <v>34</v>
      </c>
      <c r="F153" s="107" t="s">
        <v>37</v>
      </c>
      <c r="G153" s="108">
        <v>9</v>
      </c>
      <c r="H153" s="109">
        <v>0</v>
      </c>
      <c r="I153" s="110">
        <f t="shared" ref="I153:I155" si="4">(G153*H153)</f>
        <v>0</v>
      </c>
    </row>
    <row r="154" spans="1:9" ht="36" customHeight="1" x14ac:dyDescent="0.15">
      <c r="B154" s="183"/>
      <c r="C154" s="86" t="s">
        <v>30</v>
      </c>
      <c r="D154" s="86" t="s">
        <v>38</v>
      </c>
      <c r="E154" s="86" t="s">
        <v>29</v>
      </c>
      <c r="F154" s="86" t="s">
        <v>83</v>
      </c>
      <c r="G154" s="56">
        <v>6</v>
      </c>
      <c r="H154" s="68">
        <v>0</v>
      </c>
      <c r="I154" s="87">
        <f t="shared" ref="I154" si="5">(G154*H154)</f>
        <v>0</v>
      </c>
    </row>
    <row r="155" spans="1:9" ht="36" customHeight="1" x14ac:dyDescent="0.15">
      <c r="B155" s="183"/>
      <c r="C155" s="156" t="s">
        <v>30</v>
      </c>
      <c r="D155" s="147" t="s">
        <v>177</v>
      </c>
      <c r="E155" s="147" t="s">
        <v>29</v>
      </c>
      <c r="F155" s="156" t="s">
        <v>83</v>
      </c>
      <c r="G155" s="157">
        <v>6</v>
      </c>
      <c r="H155" s="100">
        <v>0</v>
      </c>
      <c r="I155" s="105">
        <f t="shared" si="4"/>
        <v>0</v>
      </c>
    </row>
    <row r="156" spans="1:9" ht="14" thickBot="1" x14ac:dyDescent="0.2">
      <c r="A156"/>
      <c r="B156" s="36"/>
      <c r="C156" s="21"/>
      <c r="D156" s="22"/>
      <c r="E156" s="22"/>
      <c r="F156" s="21"/>
      <c r="G156" s="57"/>
      <c r="H156" s="22"/>
      <c r="I156" s="47"/>
    </row>
    <row r="157" spans="1:9" ht="13" x14ac:dyDescent="0.15">
      <c r="A157"/>
      <c r="B157" s="14" t="s">
        <v>7</v>
      </c>
      <c r="C157" s="37"/>
      <c r="D157" s="37"/>
      <c r="E157" s="37"/>
      <c r="F157" s="250" t="s">
        <v>94</v>
      </c>
      <c r="G157" s="251"/>
      <c r="H157" s="252"/>
      <c r="I157" s="196">
        <f>SUM(I6:I156)</f>
        <v>0</v>
      </c>
    </row>
    <row r="158" spans="1:9" ht="14" thickBot="1" x14ac:dyDescent="0.2">
      <c r="A158"/>
      <c r="B158" s="14" t="s">
        <v>6</v>
      </c>
      <c r="C158" s="15"/>
      <c r="D158" s="15"/>
      <c r="E158" s="15"/>
      <c r="F158" s="253"/>
      <c r="G158" s="254"/>
      <c r="H158" s="255"/>
      <c r="I158" s="197"/>
    </row>
    <row r="159" spans="1:9" ht="13" x14ac:dyDescent="0.15">
      <c r="A159"/>
      <c r="B159" s="14" t="s">
        <v>121</v>
      </c>
    </row>
    <row r="160" spans="1:9" ht="13" x14ac:dyDescent="0.15">
      <c r="A160"/>
      <c r="B160" s="26" t="s">
        <v>186</v>
      </c>
    </row>
    <row r="161" spans="2:9" s="15" customFormat="1" ht="12" customHeight="1" x14ac:dyDescent="0.15">
      <c r="B161" s="83" t="s">
        <v>179</v>
      </c>
      <c r="C161" s="13"/>
      <c r="D161" s="13"/>
      <c r="E161" s="13"/>
      <c r="F161" s="13"/>
      <c r="G161" s="48"/>
      <c r="H161" s="13"/>
      <c r="I161" s="13"/>
    </row>
    <row r="162" spans="2:9" ht="22" customHeight="1" x14ac:dyDescent="0.15">
      <c r="B162" s="14"/>
    </row>
    <row r="163" spans="2:9" ht="22" customHeight="1" x14ac:dyDescent="0.15"/>
    <row r="164" spans="2:9" ht="22" customHeight="1" x14ac:dyDescent="0.15"/>
  </sheetData>
  <sheetProtection algorithmName="SHA-512" hashValue="ldaDqJbpqpe8qipNWRlpr2yEoa1MDc9Hkuynns1ivbPSODYpJmQk8X7VwzM5ZKtADyVchguIVcYgQprhWiEQjw==" saltValue="4P8n3g22EKrTYrxjUAKkHw==" spinCount="100000" sheet="1" objects="1" scenarios="1"/>
  <mergeCells count="290">
    <mergeCell ref="B143:B146"/>
    <mergeCell ref="C145:C146"/>
    <mergeCell ref="D145:D146"/>
    <mergeCell ref="E145:E146"/>
    <mergeCell ref="F145:F146"/>
    <mergeCell ref="G145:G146"/>
    <mergeCell ref="B147:B150"/>
    <mergeCell ref="C147:C150"/>
    <mergeCell ref="B151:B152"/>
    <mergeCell ref="C151:C152"/>
    <mergeCell ref="D151:D152"/>
    <mergeCell ref="B131:B138"/>
    <mergeCell ref="C131:C138"/>
    <mergeCell ref="D131:D132"/>
    <mergeCell ref="E131:E132"/>
    <mergeCell ref="F131:F132"/>
    <mergeCell ref="G131:G132"/>
    <mergeCell ref="H131:H132"/>
    <mergeCell ref="I131:I132"/>
    <mergeCell ref="D135:D136"/>
    <mergeCell ref="E135:E136"/>
    <mergeCell ref="F135:F136"/>
    <mergeCell ref="G135:G136"/>
    <mergeCell ref="D137:D138"/>
    <mergeCell ref="E137:E138"/>
    <mergeCell ref="F137:F138"/>
    <mergeCell ref="G137:G138"/>
    <mergeCell ref="H135:H136"/>
    <mergeCell ref="H137:H138"/>
    <mergeCell ref="D133:D134"/>
    <mergeCell ref="E133:E134"/>
    <mergeCell ref="F133:F134"/>
    <mergeCell ref="G133:G134"/>
    <mergeCell ref="H133:H134"/>
    <mergeCell ref="I133:I134"/>
    <mergeCell ref="D108:D111"/>
    <mergeCell ref="F104:F105"/>
    <mergeCell ref="G104:G105"/>
    <mergeCell ref="B113:B122"/>
    <mergeCell ref="C113:C122"/>
    <mergeCell ref="D113:D119"/>
    <mergeCell ref="E118:E119"/>
    <mergeCell ref="B96:B111"/>
    <mergeCell ref="C96:C111"/>
    <mergeCell ref="D96:D107"/>
    <mergeCell ref="E100:E101"/>
    <mergeCell ref="F100:F101"/>
    <mergeCell ref="G100:G101"/>
    <mergeCell ref="E96:E97"/>
    <mergeCell ref="F96:F97"/>
    <mergeCell ref="G96:G97"/>
    <mergeCell ref="E98:E99"/>
    <mergeCell ref="F98:F99"/>
    <mergeCell ref="G98:G99"/>
    <mergeCell ref="G69:G70"/>
    <mergeCell ref="D71:D72"/>
    <mergeCell ref="E71:E72"/>
    <mergeCell ref="F71:F72"/>
    <mergeCell ref="G71:G72"/>
    <mergeCell ref="B78:B92"/>
    <mergeCell ref="C78:C84"/>
    <mergeCell ref="D78:D92"/>
    <mergeCell ref="E78:E84"/>
    <mergeCell ref="B69:B74"/>
    <mergeCell ref="C69:C74"/>
    <mergeCell ref="D69:D70"/>
    <mergeCell ref="E69:E70"/>
    <mergeCell ref="F69:F70"/>
    <mergeCell ref="C91:C92"/>
    <mergeCell ref="E91:E92"/>
    <mergeCell ref="F157:H158"/>
    <mergeCell ref="C6:C9"/>
    <mergeCell ref="D6:D9"/>
    <mergeCell ref="E6:E9"/>
    <mergeCell ref="E14:E15"/>
    <mergeCell ref="C39:C42"/>
    <mergeCell ref="D39:D42"/>
    <mergeCell ref="E39:E42"/>
    <mergeCell ref="F39:F40"/>
    <mergeCell ref="G39:G40"/>
    <mergeCell ref="F41:F42"/>
    <mergeCell ref="G41:G42"/>
    <mergeCell ref="C43:C48"/>
    <mergeCell ref="D43:D48"/>
    <mergeCell ref="E43:E48"/>
    <mergeCell ref="F43:F45"/>
    <mergeCell ref="G43:G45"/>
    <mergeCell ref="F46:F48"/>
    <mergeCell ref="G46:G48"/>
    <mergeCell ref="G52:G53"/>
    <mergeCell ref="F52:F53"/>
    <mergeCell ref="G50:G51"/>
    <mergeCell ref="G34:G35"/>
    <mergeCell ref="F50:F51"/>
    <mergeCell ref="C89:C90"/>
    <mergeCell ref="E89:E90"/>
    <mergeCell ref="E50:E53"/>
    <mergeCell ref="C85:C86"/>
    <mergeCell ref="D62:D65"/>
    <mergeCell ref="E62:E65"/>
    <mergeCell ref="C50:C65"/>
    <mergeCell ref="D50:D57"/>
    <mergeCell ref="E54:E57"/>
    <mergeCell ref="D73:D74"/>
    <mergeCell ref="E73:E74"/>
    <mergeCell ref="C87:C88"/>
    <mergeCell ref="D58:D61"/>
    <mergeCell ref="E58:E61"/>
    <mergeCell ref="F62:F63"/>
    <mergeCell ref="G62:G63"/>
    <mergeCell ref="F64:F65"/>
    <mergeCell ref="G64:G65"/>
    <mergeCell ref="B50:B65"/>
    <mergeCell ref="F54:F55"/>
    <mergeCell ref="G54:G55"/>
    <mergeCell ref="C34:C37"/>
    <mergeCell ref="D34:D37"/>
    <mergeCell ref="E34:E37"/>
    <mergeCell ref="F56:F57"/>
    <mergeCell ref="G56:G57"/>
    <mergeCell ref="F58:F59"/>
    <mergeCell ref="C18:C19"/>
    <mergeCell ref="D18:D19"/>
    <mergeCell ref="E18:E19"/>
    <mergeCell ref="C14:C15"/>
    <mergeCell ref="D14:D15"/>
    <mergeCell ref="B39:B48"/>
    <mergeCell ref="G58:G59"/>
    <mergeCell ref="F60:F61"/>
    <mergeCell ref="G60:G61"/>
    <mergeCell ref="E25:E28"/>
    <mergeCell ref="D25:D28"/>
    <mergeCell ref="B1:I1"/>
    <mergeCell ref="F25:F26"/>
    <mergeCell ref="F27:F28"/>
    <mergeCell ref="G27:G28"/>
    <mergeCell ref="G8:G9"/>
    <mergeCell ref="D10:D13"/>
    <mergeCell ref="E10:E13"/>
    <mergeCell ref="C10:C13"/>
    <mergeCell ref="C25:C28"/>
    <mergeCell ref="G25:G26"/>
    <mergeCell ref="G6:G7"/>
    <mergeCell ref="F6:F7"/>
    <mergeCell ref="F8:F9"/>
    <mergeCell ref="G10:G11"/>
    <mergeCell ref="G12:G13"/>
    <mergeCell ref="F12:F13"/>
    <mergeCell ref="F10:F11"/>
    <mergeCell ref="H6:H7"/>
    <mergeCell ref="I6:I7"/>
    <mergeCell ref="H8:H9"/>
    <mergeCell ref="I8:I9"/>
    <mergeCell ref="H10:H11"/>
    <mergeCell ref="I10:I11"/>
    <mergeCell ref="B6:B19"/>
    <mergeCell ref="E114:E115"/>
    <mergeCell ref="F85:F86"/>
    <mergeCell ref="G85:G86"/>
    <mergeCell ref="F83:F84"/>
    <mergeCell ref="E85:E86"/>
    <mergeCell ref="F81:F82"/>
    <mergeCell ref="F79:F80"/>
    <mergeCell ref="G79:G80"/>
    <mergeCell ref="G81:G82"/>
    <mergeCell ref="F87:F88"/>
    <mergeCell ref="G87:G88"/>
    <mergeCell ref="E87:E88"/>
    <mergeCell ref="E108:E109"/>
    <mergeCell ref="F108:F109"/>
    <mergeCell ref="G108:G109"/>
    <mergeCell ref="E104:E105"/>
    <mergeCell ref="G110:G111"/>
    <mergeCell ref="H50:H51"/>
    <mergeCell ref="H52:H53"/>
    <mergeCell ref="H54:H55"/>
    <mergeCell ref="H56:H57"/>
    <mergeCell ref="H58:H59"/>
    <mergeCell ref="H60:H61"/>
    <mergeCell ref="H62:H63"/>
    <mergeCell ref="H64:H65"/>
    <mergeCell ref="H12:H13"/>
    <mergeCell ref="H25:H26"/>
    <mergeCell ref="H27:H28"/>
    <mergeCell ref="H34:H35"/>
    <mergeCell ref="H36:H37"/>
    <mergeCell ref="H39:H40"/>
    <mergeCell ref="H41:H42"/>
    <mergeCell ref="H43:H45"/>
    <mergeCell ref="H46:H48"/>
    <mergeCell ref="H21:H22"/>
    <mergeCell ref="I56:I57"/>
    <mergeCell ref="I54:I55"/>
    <mergeCell ref="H69:H70"/>
    <mergeCell ref="H71:H72"/>
    <mergeCell ref="H73:H74"/>
    <mergeCell ref="H79:H80"/>
    <mergeCell ref="H81:H82"/>
    <mergeCell ref="H83:H84"/>
    <mergeCell ref="I58:I59"/>
    <mergeCell ref="I137:I138"/>
    <mergeCell ref="I135:I136"/>
    <mergeCell ref="I110:I111"/>
    <mergeCell ref="I106:I107"/>
    <mergeCell ref="I102:I103"/>
    <mergeCell ref="I89:I90"/>
    <mergeCell ref="I85:I86"/>
    <mergeCell ref="H85:H86"/>
    <mergeCell ref="H89:H90"/>
    <mergeCell ref="H87:H88"/>
    <mergeCell ref="I87:I88"/>
    <mergeCell ref="H108:H109"/>
    <mergeCell ref="I108:I109"/>
    <mergeCell ref="H104:H105"/>
    <mergeCell ref="I104:I105"/>
    <mergeCell ref="I98:I99"/>
    <mergeCell ref="H100:H101"/>
    <mergeCell ref="I100:I101"/>
    <mergeCell ref="H96:H97"/>
    <mergeCell ref="I96:I97"/>
    <mergeCell ref="H98:H99"/>
    <mergeCell ref="H102:H103"/>
    <mergeCell ref="H106:H107"/>
    <mergeCell ref="H110:H111"/>
    <mergeCell ref="B153:B155"/>
    <mergeCell ref="I27:I28"/>
    <mergeCell ref="I25:I26"/>
    <mergeCell ref="I12:I13"/>
    <mergeCell ref="I157:I158"/>
    <mergeCell ref="I52:I53"/>
    <mergeCell ref="I50:I51"/>
    <mergeCell ref="I46:I48"/>
    <mergeCell ref="I43:I45"/>
    <mergeCell ref="I41:I42"/>
    <mergeCell ref="I39:I40"/>
    <mergeCell ref="I36:I37"/>
    <mergeCell ref="I34:I35"/>
    <mergeCell ref="I83:I84"/>
    <mergeCell ref="I81:I82"/>
    <mergeCell ref="I79:I80"/>
    <mergeCell ref="I73:I74"/>
    <mergeCell ref="I71:I72"/>
    <mergeCell ref="I69:I70"/>
    <mergeCell ref="I64:I65"/>
    <mergeCell ref="I62:I63"/>
    <mergeCell ref="I60:I61"/>
    <mergeCell ref="H145:H146"/>
    <mergeCell ref="I145:I146"/>
    <mergeCell ref="E102:E103"/>
    <mergeCell ref="F102:F103"/>
    <mergeCell ref="G102:G103"/>
    <mergeCell ref="E106:E107"/>
    <mergeCell ref="F106:F107"/>
    <mergeCell ref="G106:G107"/>
    <mergeCell ref="E110:E111"/>
    <mergeCell ref="F110:F111"/>
    <mergeCell ref="C16:C17"/>
    <mergeCell ref="D16:D17"/>
    <mergeCell ref="E16:E17"/>
    <mergeCell ref="C21:C24"/>
    <mergeCell ref="D21:D24"/>
    <mergeCell ref="E21:E24"/>
    <mergeCell ref="F21:F22"/>
    <mergeCell ref="G21:G22"/>
    <mergeCell ref="G83:G84"/>
    <mergeCell ref="F89:F90"/>
    <mergeCell ref="G89:G90"/>
    <mergeCell ref="F73:F74"/>
    <mergeCell ref="G73:G74"/>
    <mergeCell ref="F34:F35"/>
    <mergeCell ref="F36:F37"/>
    <mergeCell ref="G36:G37"/>
    <mergeCell ref="I21:I22"/>
    <mergeCell ref="F23:F24"/>
    <mergeCell ref="G23:G24"/>
    <mergeCell ref="H23:H24"/>
    <mergeCell ref="I23:I24"/>
    <mergeCell ref="B24:B25"/>
    <mergeCell ref="C30:C33"/>
    <mergeCell ref="D30:D33"/>
    <mergeCell ref="E30:E33"/>
    <mergeCell ref="F30:F31"/>
    <mergeCell ref="G30:G31"/>
    <mergeCell ref="H30:H31"/>
    <mergeCell ref="I30:I31"/>
    <mergeCell ref="F32:F33"/>
    <mergeCell ref="G32:G33"/>
    <mergeCell ref="H32:H33"/>
    <mergeCell ref="I32:I33"/>
    <mergeCell ref="B33:B34"/>
  </mergeCells>
  <phoneticPr fontId="1" type="noConversion"/>
  <printOptions horizontalCentered="1"/>
  <pageMargins left="0.47" right="0.47" top="0.98" bottom="0.98" header="0.59" footer="0.59"/>
  <pageSetup paperSize="9" scale="26" orientation="portrait" horizontalDpi="0" verticalDpi="0"/>
  <rowBreaks count="2" manualBreakCount="2">
    <brk id="81" max="16383" man="1"/>
    <brk id="125" max="16383" man="1"/>
  </rowBreaks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>Synerfood Consultants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LARRIEU</dc:creator>
  <cp:lastModifiedBy>admin</cp:lastModifiedBy>
  <cp:lastPrinted>2024-10-30T14:50:23Z</cp:lastPrinted>
  <dcterms:created xsi:type="dcterms:W3CDTF">2016-12-20T12:39:49Z</dcterms:created>
  <dcterms:modified xsi:type="dcterms:W3CDTF">2026-04-01T16:11:17Z</dcterms:modified>
</cp:coreProperties>
</file>